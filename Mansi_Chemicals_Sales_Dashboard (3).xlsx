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_Data" sheetId="2" state="visible" r:id="rId4"/>
    <sheet name="Product_Master" sheetId="3" state="visible" r:id="rId5"/>
    <sheet name="Calc" sheetId="4" state="visible" r:id="rId6"/>
    <sheet name="Notes" sheetId="5" state="visible" r:id="rId7"/>
  </sheets>
  <definedNames>
    <definedName function="false" hidden="true" localSheetId="1" name="_xlnm._FilterDatabase" vbProcedure="false">Sales_Data!$A$1:$U$1500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<sst xmlns="http://schemas.openxmlformats.org/spreadsheetml/2006/main" count="2353" uniqueCount="433">
  <si>
    <t xml:space="preserve">MANSI CHEMICALS  |  Sales &amp; Operations Dashboard</t>
  </si>
  <si>
    <t xml:space="preserve">Solvent Soluble Dyes · Jan 2023 – Jun 2024</t>
  </si>
  <si>
    <t xml:space="preserve">Region filter ▶</t>
  </si>
  <si>
    <t xml:space="preserve">All</t>
  </si>
  <si>
    <t xml:space="preserve">Year ▶</t>
  </si>
  <si>
    <t xml:space="preserve">(pick Region and/or Year – the dashboard updates)</t>
  </si>
  <si>
    <t xml:space="preserve">TOTAL REVENUE</t>
  </si>
  <si>
    <t xml:space="preserve">VOLUME SOLD</t>
  </si>
  <si>
    <t xml:space="preserve">GROSS MARGIN</t>
  </si>
  <si>
    <t xml:space="preserve">ORDERS</t>
  </si>
  <si>
    <t xml:space="preserve">AVG SELLING PRICE</t>
  </si>
  <si>
    <t xml:space="preserve">ON-TIME DELIVERY</t>
  </si>
  <si>
    <t xml:space="preserve">across all shades</t>
  </si>
  <si>
    <t xml:space="preserve">Sample dashboard built on simulated data modelled on the Mansi Chemicals product range (37 shades from the shade card). Figures are illustrative, not actual company results.</t>
  </si>
  <si>
    <t xml:space="preserve">Order ID</t>
  </si>
  <si>
    <t xml:space="preserve">Order Date</t>
  </si>
  <si>
    <t xml:space="preserve">Month</t>
  </si>
  <si>
    <t xml:space="preserve">Customer</t>
  </si>
  <si>
    <t xml:space="preserve">Region</t>
  </si>
  <si>
    <t xml:space="preserve">State / Country</t>
  </si>
  <si>
    <t xml:space="preserve">Product Code</t>
  </si>
  <si>
    <t xml:space="preserve">Product (Shade)</t>
  </si>
  <si>
    <t xml:space="preserve">C.I. Name</t>
  </si>
  <si>
    <t xml:space="preserve">Shade Family</t>
  </si>
  <si>
    <t xml:space="preserve">Application Segment</t>
  </si>
  <si>
    <t xml:space="preserve">Qty (kg)</t>
  </si>
  <si>
    <t xml:space="preserve">Rate (₹/kg)</t>
  </si>
  <si>
    <t xml:space="preserve">Sales Value (₹)</t>
  </si>
  <si>
    <t xml:space="preserve">Unit Cost (₹/kg)</t>
  </si>
  <si>
    <t xml:space="preserve">Gross Margin (₹)</t>
  </si>
  <si>
    <t xml:space="preserve">Promised Lead Time (days)</t>
  </si>
  <si>
    <t xml:space="preserve">Actual Lead Time (days)</t>
  </si>
  <si>
    <t xml:space="preserve">Status</t>
  </si>
  <si>
    <t xml:space="preserve">On-Time?</t>
  </si>
  <si>
    <t xml:space="preserve">Year</t>
  </si>
  <si>
    <t xml:space="preserve">MC-23-0001</t>
  </si>
  <si>
    <t xml:space="preserve">Sao Paulo Foil Tech Ltda</t>
  </si>
  <si>
    <t xml:space="preserve">Export</t>
  </si>
  <si>
    <t xml:space="preserve">Brazil</t>
  </si>
  <si>
    <t xml:space="preserve">MC-30</t>
  </si>
  <si>
    <t xml:space="preserve">Brown 287-L</t>
  </si>
  <si>
    <t xml:space="preserve">-</t>
  </si>
  <si>
    <t xml:space="preserve">Brown</t>
  </si>
  <si>
    <t xml:space="preserve">Hot Foil Stamping</t>
  </si>
  <si>
    <t xml:space="preserve">Delivered</t>
  </si>
  <si>
    <t xml:space="preserve">MC-23-0002</t>
  </si>
  <si>
    <t xml:space="preserve">Pioneer Foils &amp; Films Pvt. Ltd.</t>
  </si>
  <si>
    <t xml:space="preserve">Domestic</t>
  </si>
  <si>
    <t xml:space="preserve">Maharashtra</t>
  </si>
  <si>
    <t xml:space="preserve">MC-06</t>
  </si>
  <si>
    <t xml:space="preserve">Golden Yellow</t>
  </si>
  <si>
    <t xml:space="preserve">Yellow</t>
  </si>
  <si>
    <t xml:space="preserve">Metallised Film &amp; Foil Coating</t>
  </si>
  <si>
    <t xml:space="preserve">MC-23-0003</t>
  </si>
  <si>
    <t xml:space="preserve">Sri Lakshmi Leather Chemicals</t>
  </si>
  <si>
    <t xml:space="preserve">Tamil Nadu</t>
  </si>
  <si>
    <t xml:space="preserve">MC-03</t>
  </si>
  <si>
    <t xml:space="preserve">Yellow GL</t>
  </si>
  <si>
    <t xml:space="preserve">C.I. Solvent Yellow 90</t>
  </si>
  <si>
    <t xml:space="preserve">Leather Finishing</t>
  </si>
  <si>
    <t xml:space="preserve">MC-23-0004</t>
  </si>
  <si>
    <t xml:space="preserve">Guangzhou Huaxin Coatings Co., Ltd.</t>
  </si>
  <si>
    <t xml:space="preserve">China</t>
  </si>
  <si>
    <t xml:space="preserve">MC-21</t>
  </si>
  <si>
    <t xml:space="preserve">Black RE</t>
  </si>
  <si>
    <t xml:space="preserve">C.I. Solvent Black 27</t>
  </si>
  <si>
    <t xml:space="preserve">Black</t>
  </si>
  <si>
    <t xml:space="preserve">Aluminium &amp; Metal Coating</t>
  </si>
  <si>
    <t xml:space="preserve">MC-23-0005</t>
  </si>
  <si>
    <t xml:space="preserve">Ningbo Metallic Film Co., Ltd.</t>
  </si>
  <si>
    <t xml:space="preserve">MC-23-0006</t>
  </si>
  <si>
    <t xml:space="preserve">Bangkok Ink &amp; Resin Co., Ltd.</t>
  </si>
  <si>
    <t xml:space="preserve">Thailand</t>
  </si>
  <si>
    <t xml:space="preserve">MC-01</t>
  </si>
  <si>
    <t xml:space="preserve">Yellow 2RLS</t>
  </si>
  <si>
    <t xml:space="preserve">C.I. Solvent Yellow 62</t>
  </si>
  <si>
    <t xml:space="preserve">Printing Inks (Flexo / Gravure)</t>
  </si>
  <si>
    <t xml:space="preserve">MC-23-0007</t>
  </si>
  <si>
    <t xml:space="preserve">MC-28</t>
  </si>
  <si>
    <t xml:space="preserve">Purple</t>
  </si>
  <si>
    <t xml:space="preserve">Blue / Violet</t>
  </si>
  <si>
    <t xml:space="preserve">MC-23-0008</t>
  </si>
  <si>
    <t xml:space="preserve">MC-20</t>
  </si>
  <si>
    <t xml:space="preserve">Jet Black</t>
  </si>
  <si>
    <t xml:space="preserve">MC-23-0009</t>
  </si>
  <si>
    <t xml:space="preserve">MC-05</t>
  </si>
  <si>
    <t xml:space="preserve">Yellow 2R</t>
  </si>
  <si>
    <t xml:space="preserve">C.I. Solvent Orange 45</t>
  </si>
  <si>
    <t xml:space="preserve">MC-23-0010</t>
  </si>
  <si>
    <t xml:space="preserve">MC-23</t>
  </si>
  <si>
    <t xml:space="preserve">Black RBL</t>
  </si>
  <si>
    <t xml:space="preserve">C.I. Solvent Black 34</t>
  </si>
  <si>
    <t xml:space="preserve">MC-23-0011</t>
  </si>
  <si>
    <t xml:space="preserve">MC-31</t>
  </si>
  <si>
    <t xml:space="preserve">Brown GLW</t>
  </si>
  <si>
    <t xml:space="preserve">MC-23-0012</t>
  </si>
  <si>
    <t xml:space="preserve">Marudhar Paints &amp; Coatings Pvt. Ltd.</t>
  </si>
  <si>
    <t xml:space="preserve">Rajasthan</t>
  </si>
  <si>
    <t xml:space="preserve">MC-23-0013</t>
  </si>
  <si>
    <t xml:space="preserve">MC-24</t>
  </si>
  <si>
    <t xml:space="preserve">Blue 2GLN</t>
  </si>
  <si>
    <t xml:space="preserve">C.I. Solvent Blue 48</t>
  </si>
  <si>
    <t xml:space="preserve">MC-23-0014</t>
  </si>
  <si>
    <t xml:space="preserve">Jay Ambe Metallizers Pvt. Ltd.</t>
  </si>
  <si>
    <t xml:space="preserve">Gujarat</t>
  </si>
  <si>
    <t xml:space="preserve">Plastics &amp; PVC Colouring</t>
  </si>
  <si>
    <t xml:space="preserve">MC-23-0015</t>
  </si>
  <si>
    <t xml:space="preserve">MC-23-0016</t>
  </si>
  <si>
    <t xml:space="preserve">Saigon Coatings JSC</t>
  </si>
  <si>
    <t xml:space="preserve">Vietnam</t>
  </si>
  <si>
    <t xml:space="preserve">MC-07</t>
  </si>
  <si>
    <t xml:space="preserve">Orange RE</t>
  </si>
  <si>
    <t xml:space="preserve">C.I. Solvent Orange 54</t>
  </si>
  <si>
    <t xml:space="preserve">Orange</t>
  </si>
  <si>
    <t xml:space="preserve">MC-23-0017</t>
  </si>
  <si>
    <t xml:space="preserve">MC-23-0018</t>
  </si>
  <si>
    <t xml:space="preserve">MC-25</t>
  </si>
  <si>
    <t xml:space="preserve">Royal Blue</t>
  </si>
  <si>
    <t xml:space="preserve">MC-23-0019</t>
  </si>
  <si>
    <t xml:space="preserve">MC-15</t>
  </si>
  <si>
    <t xml:space="preserve">Fire Red G</t>
  </si>
  <si>
    <t xml:space="preserve">C.I. Solvent Red 119</t>
  </si>
  <si>
    <t xml:space="preserve">Red</t>
  </si>
  <si>
    <t xml:space="preserve">MC-23-0020</t>
  </si>
  <si>
    <t xml:space="preserve">MC-23-0021</t>
  </si>
  <si>
    <t xml:space="preserve">MC-23-0022</t>
  </si>
  <si>
    <t xml:space="preserve">MC-34</t>
  </si>
  <si>
    <t xml:space="preserve">Dark Brown 5R</t>
  </si>
  <si>
    <t xml:space="preserve">MC-23-0023</t>
  </si>
  <si>
    <t xml:space="preserve">MC-23-0024</t>
  </si>
  <si>
    <t xml:space="preserve">Wood Stains &amp; Lacquers</t>
  </si>
  <si>
    <t xml:space="preserve">MC-23-0025</t>
  </si>
  <si>
    <t xml:space="preserve">MC-23-0026</t>
  </si>
  <si>
    <t xml:space="preserve">Krishna Print Inks Pvt. Ltd.</t>
  </si>
  <si>
    <t xml:space="preserve">MC-22</t>
  </si>
  <si>
    <t xml:space="preserve">Black RL</t>
  </si>
  <si>
    <t xml:space="preserve">C.I. Solvent Black 29</t>
  </si>
  <si>
    <t xml:space="preserve">MC-23-0027</t>
  </si>
  <si>
    <t xml:space="preserve">MC-23-0028</t>
  </si>
  <si>
    <t xml:space="preserve">MC-04</t>
  </si>
  <si>
    <t xml:space="preserve">Yellow 4GF</t>
  </si>
  <si>
    <t xml:space="preserve">C.I. Solvent Yellow 146</t>
  </si>
  <si>
    <t xml:space="preserve">MC-23-0029</t>
  </si>
  <si>
    <t xml:space="preserve">MC-23-0030</t>
  </si>
  <si>
    <t xml:space="preserve">MC-23-0031</t>
  </si>
  <si>
    <t xml:space="preserve">Pen &amp; Marker Inks</t>
  </si>
  <si>
    <t xml:space="preserve">MC-23-0032</t>
  </si>
  <si>
    <t xml:space="preserve">MC-23-0033</t>
  </si>
  <si>
    <t xml:space="preserve">MC-36</t>
  </si>
  <si>
    <t xml:space="preserve">Green BL</t>
  </si>
  <si>
    <t xml:space="preserve">Green</t>
  </si>
  <si>
    <t xml:space="preserve">MC-23-0034</t>
  </si>
  <si>
    <t xml:space="preserve">MC-23-0035</t>
  </si>
  <si>
    <t xml:space="preserve">MC-23-0036</t>
  </si>
  <si>
    <t xml:space="preserve">MC-23-0037</t>
  </si>
  <si>
    <t xml:space="preserve">MC-16</t>
  </si>
  <si>
    <t xml:space="preserve">Red B (395)</t>
  </si>
  <si>
    <t xml:space="preserve">C.I. Solvent Red 122</t>
  </si>
  <si>
    <t xml:space="preserve">MC-23-0038</t>
  </si>
  <si>
    <t xml:space="preserve">MC-23-0039</t>
  </si>
  <si>
    <t xml:space="preserve">MC-23-0040</t>
  </si>
  <si>
    <t xml:space="preserve">MC-23-0041</t>
  </si>
  <si>
    <t xml:space="preserve">MC-13</t>
  </si>
  <si>
    <t xml:space="preserve">Red 3BLS</t>
  </si>
  <si>
    <t xml:space="preserve">C.I. Solvent Red 91</t>
  </si>
  <si>
    <t xml:space="preserve">MC-23-0042</t>
  </si>
  <si>
    <t xml:space="preserve">MC-23-0043</t>
  </si>
  <si>
    <t xml:space="preserve">MC-35</t>
  </si>
  <si>
    <t xml:space="preserve">Green GL</t>
  </si>
  <si>
    <t xml:space="preserve">MC-23-0044</t>
  </si>
  <si>
    <t xml:space="preserve">MC-23-0045</t>
  </si>
  <si>
    <t xml:space="preserve">MC-09</t>
  </si>
  <si>
    <t xml:space="preserve">Orange 2R</t>
  </si>
  <si>
    <t xml:space="preserve">C.I. Solvent Orange 62</t>
  </si>
  <si>
    <t xml:space="preserve">MC-23-0046</t>
  </si>
  <si>
    <t xml:space="preserve">MC-23-0047</t>
  </si>
  <si>
    <t xml:space="preserve">MC-23-0048</t>
  </si>
  <si>
    <t xml:space="preserve">MC-23-0049</t>
  </si>
  <si>
    <t xml:space="preserve">MC-23-0050</t>
  </si>
  <si>
    <t xml:space="preserve">MC-23-0051</t>
  </si>
  <si>
    <t xml:space="preserve">MC-23-0052</t>
  </si>
  <si>
    <t xml:space="preserve">MC-12</t>
  </si>
  <si>
    <t xml:space="preserve">Red BB</t>
  </si>
  <si>
    <t xml:space="preserve">C.I. Solvent Red 8</t>
  </si>
  <si>
    <t xml:space="preserve">MC-23-0053</t>
  </si>
  <si>
    <t xml:space="preserve">MC-23-0054</t>
  </si>
  <si>
    <t xml:space="preserve">MC-23-0055</t>
  </si>
  <si>
    <t xml:space="preserve">MC-23-0056</t>
  </si>
  <si>
    <t xml:space="preserve">MC-33</t>
  </si>
  <si>
    <t xml:space="preserve">Brown 2RM</t>
  </si>
  <si>
    <t xml:space="preserve">MC-23-0057</t>
  </si>
  <si>
    <t xml:space="preserve">MC-23-0058</t>
  </si>
  <si>
    <t xml:space="preserve">MC-23-0059</t>
  </si>
  <si>
    <t xml:space="preserve">MC-23-0060</t>
  </si>
  <si>
    <t xml:space="preserve">MC-37</t>
  </si>
  <si>
    <t xml:space="preserve">Maroon</t>
  </si>
  <si>
    <t xml:space="preserve">MC-23-0061</t>
  </si>
  <si>
    <t xml:space="preserve">MC-23-0062</t>
  </si>
  <si>
    <t xml:space="preserve">MC-23-0063</t>
  </si>
  <si>
    <t xml:space="preserve">MC-27</t>
  </si>
  <si>
    <t xml:space="preserve">Dark Violet R</t>
  </si>
  <si>
    <t xml:space="preserve">MC-23-0064</t>
  </si>
  <si>
    <t xml:space="preserve">MC-23-0065</t>
  </si>
  <si>
    <t xml:space="preserve">MC-23-0066</t>
  </si>
  <si>
    <t xml:space="preserve">MC-23-0067</t>
  </si>
  <si>
    <t xml:space="preserve">MC-23-0068</t>
  </si>
  <si>
    <t xml:space="preserve">MC-23-0069</t>
  </si>
  <si>
    <t xml:space="preserve">MC-23-0070</t>
  </si>
  <si>
    <t xml:space="preserve">MC-23-0071</t>
  </si>
  <si>
    <t xml:space="preserve">MC-23-0072</t>
  </si>
  <si>
    <t xml:space="preserve">MC-23-0073</t>
  </si>
  <si>
    <t xml:space="preserve">MC-02</t>
  </si>
  <si>
    <t xml:space="preserve">Yellow R</t>
  </si>
  <si>
    <t xml:space="preserve">C.I. Solvent Yellow 82</t>
  </si>
  <si>
    <t xml:space="preserve">MC-23-0074</t>
  </si>
  <si>
    <t xml:space="preserve">MC-23-0075</t>
  </si>
  <si>
    <t xml:space="preserve">MC-23-0076</t>
  </si>
  <si>
    <t xml:space="preserve">MC-23-0077</t>
  </si>
  <si>
    <t xml:space="preserve">MC-23-0078</t>
  </si>
  <si>
    <t xml:space="preserve">MC-23-0079</t>
  </si>
  <si>
    <t xml:space="preserve">MC-08</t>
  </si>
  <si>
    <t xml:space="preserve">Orange RL</t>
  </si>
  <si>
    <t xml:space="preserve">C.I. Solvent Orange 58</t>
  </si>
  <si>
    <t xml:space="preserve">MC-23-0080</t>
  </si>
  <si>
    <t xml:space="preserve">MC-23-0081</t>
  </si>
  <si>
    <t xml:space="preserve">MC-29</t>
  </si>
  <si>
    <t xml:space="preserve">Copper Brown</t>
  </si>
  <si>
    <t xml:space="preserve">MC-23-0082</t>
  </si>
  <si>
    <t xml:space="preserve">MC-23-0083</t>
  </si>
  <si>
    <t xml:space="preserve">MC-23-0084</t>
  </si>
  <si>
    <t xml:space="preserve">MC-23-0085</t>
  </si>
  <si>
    <t xml:space="preserve">MC-23-0086</t>
  </si>
  <si>
    <t xml:space="preserve">MC-19</t>
  </si>
  <si>
    <t xml:space="preserve">Pink MS</t>
  </si>
  <si>
    <t xml:space="preserve">Pink</t>
  </si>
  <si>
    <t xml:space="preserve">MC-23-0087</t>
  </si>
  <si>
    <t xml:space="preserve">MC-23-0088</t>
  </si>
  <si>
    <t xml:space="preserve">MC-23-0089</t>
  </si>
  <si>
    <t xml:space="preserve">MC-23-0090</t>
  </si>
  <si>
    <t xml:space="preserve">MC-23-0091</t>
  </si>
  <si>
    <t xml:space="preserve">MC-23-0092</t>
  </si>
  <si>
    <t xml:space="preserve">MC-23-0093</t>
  </si>
  <si>
    <t xml:space="preserve">MC-23-0094</t>
  </si>
  <si>
    <t xml:space="preserve">MC-10</t>
  </si>
  <si>
    <t xml:space="preserve">Orange R</t>
  </si>
  <si>
    <t xml:space="preserve">C.I. Solvent Orange 99</t>
  </si>
  <si>
    <t xml:space="preserve">MC-23-0095</t>
  </si>
  <si>
    <t xml:space="preserve">MC-23-0096</t>
  </si>
  <si>
    <t xml:space="preserve">MC-23-0097</t>
  </si>
  <si>
    <t xml:space="preserve">MC-23-0098</t>
  </si>
  <si>
    <t xml:space="preserve">MC-23-0099</t>
  </si>
  <si>
    <t xml:space="preserve">MC-23-0100</t>
  </si>
  <si>
    <t xml:space="preserve">MC-23-0101</t>
  </si>
  <si>
    <t xml:space="preserve">MC-32</t>
  </si>
  <si>
    <t xml:space="preserve">Brown GLS</t>
  </si>
  <si>
    <t xml:space="preserve">MC-23-0102</t>
  </si>
  <si>
    <t xml:space="preserve">MC-23-0103</t>
  </si>
  <si>
    <t xml:space="preserve">MC-11</t>
  </si>
  <si>
    <t xml:space="preserve">Red 2BL</t>
  </si>
  <si>
    <t xml:space="preserve">C.I. Solvent Red 132</t>
  </si>
  <si>
    <t xml:space="preserve">MC-23-0104</t>
  </si>
  <si>
    <t xml:space="preserve">MC-23-0105</t>
  </si>
  <si>
    <t xml:space="preserve">MC-23-0106</t>
  </si>
  <si>
    <t xml:space="preserve">MC-23-0107</t>
  </si>
  <si>
    <t xml:space="preserve">MC-23-0108</t>
  </si>
  <si>
    <t xml:space="preserve">MC-23-0109</t>
  </si>
  <si>
    <t xml:space="preserve">MC-23-0110</t>
  </si>
  <si>
    <t xml:space="preserve">MC-23-0111</t>
  </si>
  <si>
    <t xml:space="preserve">MC-23-0112</t>
  </si>
  <si>
    <t xml:space="preserve">MC-23-0113</t>
  </si>
  <si>
    <t xml:space="preserve">MC-23-0114</t>
  </si>
  <si>
    <t xml:space="preserve">MC-23-0115</t>
  </si>
  <si>
    <t xml:space="preserve">MC-23-0116</t>
  </si>
  <si>
    <t xml:space="preserve">MC-23-0117</t>
  </si>
  <si>
    <t xml:space="preserve">MC-23-0118</t>
  </si>
  <si>
    <t xml:space="preserve">MC-23-0119</t>
  </si>
  <si>
    <t xml:space="preserve">MC-23-0120</t>
  </si>
  <si>
    <t xml:space="preserve">MC-23-0121</t>
  </si>
  <si>
    <t xml:space="preserve">MC-17</t>
  </si>
  <si>
    <t xml:space="preserve">Red BY (335)</t>
  </si>
  <si>
    <t xml:space="preserve">MC-23-0122</t>
  </si>
  <si>
    <t xml:space="preserve">MC-23-0123</t>
  </si>
  <si>
    <t xml:space="preserve">MC-18</t>
  </si>
  <si>
    <t xml:space="preserve">Pink 5BLG</t>
  </si>
  <si>
    <t xml:space="preserve">C.I. Solvent Red 127</t>
  </si>
  <si>
    <t xml:space="preserve">MC-23-0124</t>
  </si>
  <si>
    <t xml:space="preserve">MC-23-0125</t>
  </si>
  <si>
    <t xml:space="preserve">MC-23-0126</t>
  </si>
  <si>
    <t xml:space="preserve">MC-23-0127</t>
  </si>
  <si>
    <t xml:space="preserve">MC-23-0128</t>
  </si>
  <si>
    <t xml:space="preserve">MC-23-0129</t>
  </si>
  <si>
    <t xml:space="preserve">MC-23-0130</t>
  </si>
  <si>
    <t xml:space="preserve">MC-23-0131</t>
  </si>
  <si>
    <t xml:space="preserve">MC-24-0132</t>
  </si>
  <si>
    <t xml:space="preserve">MC-24-0133</t>
  </si>
  <si>
    <t xml:space="preserve">MC-24-0134</t>
  </si>
  <si>
    <t xml:space="preserve">MC-24-0135</t>
  </si>
  <si>
    <t xml:space="preserve">MC-26</t>
  </si>
  <si>
    <t xml:space="preserve">Cadbury Violet</t>
  </si>
  <si>
    <t xml:space="preserve">MC-24-0136</t>
  </si>
  <si>
    <t xml:space="preserve">MC-24-0137</t>
  </si>
  <si>
    <t xml:space="preserve">MC-24-0138</t>
  </si>
  <si>
    <t xml:space="preserve">MC-24-0139</t>
  </si>
  <si>
    <t xml:space="preserve">MC-24-0140</t>
  </si>
  <si>
    <t xml:space="preserve">MC-24-0141</t>
  </si>
  <si>
    <t xml:space="preserve">MC-24-0142</t>
  </si>
  <si>
    <t xml:space="preserve">MC-24-0143</t>
  </si>
  <si>
    <t xml:space="preserve">MC-24-0144</t>
  </si>
  <si>
    <t xml:space="preserve">MC-24-0145</t>
  </si>
  <si>
    <t xml:space="preserve">MC-24-0146</t>
  </si>
  <si>
    <t xml:space="preserve">MC-24-0147</t>
  </si>
  <si>
    <t xml:space="preserve">MC-24-0148</t>
  </si>
  <si>
    <t xml:space="preserve">MC-24-0149</t>
  </si>
  <si>
    <t xml:space="preserve">MC-24-0150</t>
  </si>
  <si>
    <t xml:space="preserve">MC-24-0151</t>
  </si>
  <si>
    <t xml:space="preserve">MC-24-0152</t>
  </si>
  <si>
    <t xml:space="preserve">MC-24-0153</t>
  </si>
  <si>
    <t xml:space="preserve">MC-14</t>
  </si>
  <si>
    <t xml:space="preserve">Fire Red GLS</t>
  </si>
  <si>
    <t xml:space="preserve">C.I. Solvent Red 89</t>
  </si>
  <si>
    <t xml:space="preserve">MC-24-0154</t>
  </si>
  <si>
    <t xml:space="preserve">MC-24-0155</t>
  </si>
  <si>
    <t xml:space="preserve">MC-24-0156</t>
  </si>
  <si>
    <t xml:space="preserve">MC-24-0157</t>
  </si>
  <si>
    <t xml:space="preserve">MC-24-0158</t>
  </si>
  <si>
    <t xml:space="preserve">MC-24-0159</t>
  </si>
  <si>
    <t xml:space="preserve">MC-24-0160</t>
  </si>
  <si>
    <t xml:space="preserve">MC-24-0161</t>
  </si>
  <si>
    <t xml:space="preserve">MC-24-0162</t>
  </si>
  <si>
    <t xml:space="preserve">MC-24-0163</t>
  </si>
  <si>
    <t xml:space="preserve">MC-24-0164</t>
  </si>
  <si>
    <t xml:space="preserve">MC-24-0165</t>
  </si>
  <si>
    <t xml:space="preserve">MC-24-0166</t>
  </si>
  <si>
    <t xml:space="preserve">MC-24-0167</t>
  </si>
  <si>
    <t xml:space="preserve">MC-24-0168</t>
  </si>
  <si>
    <t xml:space="preserve">MC-24-0169</t>
  </si>
  <si>
    <t xml:space="preserve">MC-24-0170</t>
  </si>
  <si>
    <t xml:space="preserve">MC-24-0171</t>
  </si>
  <si>
    <t xml:space="preserve">MC-24-0172</t>
  </si>
  <si>
    <t xml:space="preserve">MC-24-0173</t>
  </si>
  <si>
    <t xml:space="preserve">MC-24-0174</t>
  </si>
  <si>
    <t xml:space="preserve">MC-24-0175</t>
  </si>
  <si>
    <t xml:space="preserve">MC-24-0176</t>
  </si>
  <si>
    <t xml:space="preserve">MC-24-0177</t>
  </si>
  <si>
    <t xml:space="preserve">MC-24-0178</t>
  </si>
  <si>
    <t xml:space="preserve">MC-24-0179</t>
  </si>
  <si>
    <t xml:space="preserve">MC-24-0180</t>
  </si>
  <si>
    <t xml:space="preserve">MC-24-0181</t>
  </si>
  <si>
    <t xml:space="preserve">MC-24-0182</t>
  </si>
  <si>
    <t xml:space="preserve">MC-24-0183</t>
  </si>
  <si>
    <t xml:space="preserve">MC-24-0184</t>
  </si>
  <si>
    <t xml:space="preserve">MC-24-0185</t>
  </si>
  <si>
    <t xml:space="preserve">MC-24-0186</t>
  </si>
  <si>
    <t xml:space="preserve">MC-24-0187</t>
  </si>
  <si>
    <t xml:space="preserve">MC-24-0188</t>
  </si>
  <si>
    <t xml:space="preserve">MC-24-0189</t>
  </si>
  <si>
    <t xml:space="preserve">MC-24-0190</t>
  </si>
  <si>
    <t xml:space="preserve">MC-24-0191</t>
  </si>
  <si>
    <t xml:space="preserve">Pending Dispatch</t>
  </si>
  <si>
    <t xml:space="preserve">MC-24-0192</t>
  </si>
  <si>
    <t xml:space="preserve">MC-24-0193</t>
  </si>
  <si>
    <t xml:space="preserve">MC-24-0194</t>
  </si>
  <si>
    <t xml:space="preserve">MC-24-0195</t>
  </si>
  <si>
    <t xml:space="preserve">MC-24-0196</t>
  </si>
  <si>
    <t xml:space="preserve">In Production</t>
  </si>
  <si>
    <t xml:space="preserve">MC-24-0197</t>
  </si>
  <si>
    <t xml:space="preserve">MC-24-0198</t>
  </si>
  <si>
    <t xml:space="preserve">MC-24-0199</t>
  </si>
  <si>
    <t xml:space="preserve">MC-24-0200</t>
  </si>
  <si>
    <t xml:space="preserve">List Price (₹/kg)</t>
  </si>
  <si>
    <t xml:space="preserve">Std Cost Ratio</t>
  </si>
  <si>
    <t xml:space="preserve">Source: shade card product names &amp; C.I. names (Mansi Solvent Soluble Dyes). Prices, cost ratios and sales data are simulated for illustration.</t>
  </si>
  <si>
    <t xml:space="preserve">Region filter (criteria)</t>
  </si>
  <si>
    <t xml:space="preserve">Year filter (criteria)</t>
  </si>
  <si>
    <t xml:space="preserve">MONTHLY</t>
  </si>
  <si>
    <t xml:space="preserve">YEAR-ON-YEAR BY MONTH (region filter applies; year filter does not)</t>
  </si>
  <si>
    <t xml:space="preserve">Revenue (₹ Lakh)</t>
  </si>
  <si>
    <t xml:space="preserve">Gross Margin (₹ Lakh)</t>
  </si>
  <si>
    <t xml:space="preserve">GM %</t>
  </si>
  <si>
    <t xml:space="preserve">Forecast Qty (kg) [input]</t>
  </si>
  <si>
    <t xml:space="preserve">Orders</t>
  </si>
  <si>
    <t xml:space="preserve">Actual Qty - All regions (kg)</t>
  </si>
  <si>
    <t xml:space="preserve">Forecast Qty (kg)</t>
  </si>
  <si>
    <t xml:space="preserve">Actual Qty (kg)</t>
  </si>
  <si>
    <t xml:space="preserve">2023</t>
  </si>
  <si>
    <t xml:space="preserve">2024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</si>
  <si>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</si>
  <si>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</si>
  <si>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</si>
  <si>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</si>
  <si>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</si>
  <si>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</si>
  <si>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</si>
  <si>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</si>
  <si>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</si>
  <si>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</si>
  <si>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</si>
  <si>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</si>
  <si>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JAN–JUN BY SHADE FAMILY (like-for-like)</t>
  </si>
  <si>
    <t xml:space="preserve">SHADE FAMILY</t>
  </si>
  <si>
    <t xml:space="preserve">APPLICATION SEGMENT</t>
  </si>
  <si>
    <t xml:space="preserve">Segment</t>
  </si>
  <si>
    <t xml:space="preserve">REGION SPLIT (unfiltered)</t>
  </si>
  <si>
    <t xml:space="preserve">PRODUCTS</t>
  </si>
  <si>
    <t xml:space="preserve">Product</t>
  </si>
  <si>
    <t xml:space="preserve">Rank key</t>
  </si>
  <si>
    <t xml:space="preserve">CUSTOMERS</t>
  </si>
  <si>
    <t xml:space="preserve">TOP 10 PRODUCTS / TOP 8 CUSTOMERS</t>
  </si>
  <si>
    <t xml:space="preserve">Top Products</t>
  </si>
  <si>
    <t xml:space="preserve">Top Customers</t>
  </si>
  <si>
    <t xml:space="preserve">KPIs</t>
  </si>
  <si>
    <t xml:space="preserve">Avg Selling Price (₹/kg)</t>
  </si>
  <si>
    <t xml:space="preserve">On-time count</t>
  </si>
  <si>
    <t xml:space="preserve">Late count</t>
  </si>
  <si>
    <t xml:space="preserve">On-Time %</t>
  </si>
  <si>
    <t xml:space="preserve">Export share of revenue</t>
  </si>
  <si>
    <t xml:space="preserve">Open orders (not dispatched)</t>
  </si>
  <si>
    <t xml:space="preserve">Avg actual lead time (days)</t>
  </si>
  <si>
    <t xml:space="preserve">ABOUT THIS WORKBOOK</t>
  </si>
  <si>
    <t xml:space="preserve">Purpose: portfolio sample of a Sales &amp; Operations MIS dashboard for a specialty-chemicals manufacturer.</t>
  </si>
  <si>
    <t xml:space="preserve">Product names and C.I. names are taken from the Mansi Solvent Soluble Dyes shade card (37 shades).</t>
  </si>
  <si>
    <t xml:space="preserve">All orders, customers (fictional), quantities, prices, costs, lead times and forecasts are SIMULATED.</t>
  </si>
  <si>
    <t xml:space="preserve">Period: Jan 2023 – Jun 2024 (200 orders). Currency: INR; 1 Lakh = 100,000.</t>
  </si>
  <si>
    <t xml:space="preserve">HOW IT WORKS</t>
  </si>
  <si>
    <t xml:space="preserve">Sales_Data = transaction table (blue = input values, black = formulas).</t>
  </si>
  <si>
    <t xml:space="preserve">Calc = SUMIFS/INDEX-MATCH summary tables feeding every chart. Forecast Qty column is a blue input.</t>
  </si>
  <si>
    <t xml:space="preserve">Dashboard!D4 = Region filter (All / Domestic / Export); Dashboard!H4 = Year filter (All / 2023 / 2024). KPIs and charts recalculate from them.</t>
  </si>
  <si>
    <t xml:space="preserve">Domestic-vs-Export donut and Forecast-vs-Actual chart are intentionally not filtered by region.</t>
  </si>
  <si>
    <t xml:space="preserve">ASSUMPTIONS</t>
  </si>
  <si>
    <t xml:space="preserve">Prices/costs are plausible ranges per shade family (blacks cheapest, blues/pinks highest); gross margin ~25-34%.</t>
  </si>
  <si>
    <t xml:space="preserve">To add data: type new rows directly under the last order in Sales_Data (formulas are pre-filled to row 1500); charts update automatically.</t>
  </si>
  <si>
    <t xml:space="preserve">Seasonality: demand peaks Oct–Mar, dips Jun–Aug; ~1.8% monthly growth trend.</t>
  </si>
  <si>
    <t xml:space="preserve">Lead time: domestic 10–15 days promised, export 21–30 days. June 2024 orders include open (undispatched) orders.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</si>
</sst>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₹ &quot;#,##0.0&quot; L&quot;"/>
    <numFmt numFmtId="166" formatCode="#,##0&quot; kg&quot;"/>
    <numFmt numFmtId="167" formatCode="0.0%"/>
    <numFmt numFmtId="168" formatCode="#,##0"/>
    <numFmt numFmtId="169" formatCode="&quot;₹ &quot;#,##0&quot;/kg&quot;"/>
    <numFmt numFmtId="170" formatCode="0%"/>
    <numFmt numFmtId="171" formatCode="0"/>
    <numFmt numFmtId="172" formatCode="dd\-mmm\-yy"/>
    <numFmt numFmtId="173" formatCode="mmm\-yy"/>
    <numFmt numFmtId="174" formatCode="0.0"/>
    <numFmt numFmtId="175" formatCode="General"/>
    <numFmt numFmtId="176" formatCode="0.00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CBD5E1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sz val="8"/>
      <color rgb="FF6B728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7CC"/>
        <bgColor rgb="FFF3F5F8"/>
      </patternFill>
    </fill>
    <fill>
      <patternFill patternType="solid">
        <fgColor rgb="FF0F7C8A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F28C28"/>
        <bgColor rgb="FFFF8080"/>
      </patternFill>
    </fill>
    <fill>
      <patternFill patternType="solid">
        <fgColor rgb="FF7B3FA0"/>
        <bgColor rgb="FF333399"/>
      </patternFill>
    </fill>
    <fill>
      <patternFill patternType="solid">
        <fgColor rgb="FFD7263D"/>
        <bgColor rgb="FF993300"/>
      </patternFill>
    </fill>
    <fill>
      <patternFill patternType="solid">
        <fgColor rgb="FFF3F5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8A"/>
      <rgbColor rgb="FFD9D9D9"/>
      <rgbColor rgb="FF878787"/>
      <rgbColor rgb="FF9999FF"/>
      <rgbColor rgb="FF7B3FA0"/>
      <rgbColor rgb="FFFFF7CC"/>
      <rgbColor rgb="FFF3F5F8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28C28"/>
      <rgbColor rgb="FFFF6600"/>
      <rgbColor rgb="FF6B7280"/>
      <rgbColor rgb="FF969696"/>
      <rgbColor rgb="FF003366"/>
      <rgbColor rgb="FF2E7D32"/>
      <rgbColor rgb="FF003300"/>
      <rgbColor rgb="FF333300"/>
      <rgbColor rgb="FF993300"/>
      <rgbColor rgb="FFD7263D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(₹ Lakh) &amp; Gross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Calc!B4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0f7c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Calc!$A$5:$A$22</c:f>
              <c:strCache>
                <c:ptCount val="1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</c:strCache>
            </c:strRef>
          </c:cat>
          <c:val>
            <c:numRef>
              <c:f>Calc!$B$5:$B$22</c:f>
              <c:numCache>
                <c:formatCode>0.0</c:formatCode>
                <c:ptCount val="18"/>
                <c:pt idx="0">
                  <c:v>8.59625</c:v>
                </c:pt>
                <c:pt idx="1">
                  <c:v>14.42</c:v>
                </c:pt>
                <c:pt idx="2">
                  <c:v>13.94625</c:v>
                </c:pt>
                <c:pt idx="3">
                  <c:v>6.72</c:v>
                </c:pt>
                <c:pt idx="4">
                  <c:v>9.80625</c:v>
                </c:pt>
                <c:pt idx="5">
                  <c:v>13.135</c:v>
                </c:pt>
                <c:pt idx="6">
                  <c:v>6.715</c:v>
                </c:pt>
                <c:pt idx="7">
                  <c:v>8.5925</c:v>
                </c:pt>
                <c:pt idx="8">
                  <c:v>14.37375</c:v>
                </c:pt>
                <c:pt idx="9">
                  <c:v>21.97875</c:v>
                </c:pt>
                <c:pt idx="10">
                  <c:v>18.32375</c:v>
                </c:pt>
                <c:pt idx="11">
                  <c:v>8.795</c:v>
                </c:pt>
                <c:pt idx="12">
                  <c:v>15.8225</c:v>
                </c:pt>
                <c:pt idx="13">
                  <c:v>13.4825</c:v>
                </c:pt>
                <c:pt idx="14">
                  <c:v>15.82625</c:v>
                </c:pt>
                <c:pt idx="15">
                  <c:v>14.6875</c:v>
                </c:pt>
                <c:pt idx="16">
                  <c:v>8.86</c:v>
                </c:pt>
                <c:pt idx="17">
                  <c:v>6.2625</c:v>
                </c:pt>
              </c:numCache>
            </c:numRef>
          </c:val>
        </c:ser>
        <c:gapWidth val="50"/>
        <c:overlap val="0"/>
        <c:axId val="15359667"/>
        <c:axId val="7995142"/>
      </c:barChart>
      <c:lineChart>
        <c:grouping val="standard"/>
        <c:varyColors val="0"/>
        <c:ser>
          <c:idx val="1"/>
          <c:order val="1"/>
          <c:tx>
            <c:strRef>
              <c:f>Calc!E4</c:f>
              <c:strCache>
                <c:ptCount val="1"/>
                <c:pt idx="0">
                  <c:v>GM %</c:v>
                </c:pt>
              </c:strCache>
            </c:strRef>
          </c:tx>
          <c:spPr>
            <a:solidFill>
              <a:srgbClr val="f28c28"/>
            </a:solidFill>
            <a:ln w="28080">
              <a:solidFill>
                <a:srgbClr val="f28c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Calc!$A$5:$A$22</c:f>
              <c:strCache>
                <c:ptCount val="1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</c:strCache>
            </c:strRef>
          </c:cat>
          <c:val>
            <c:numRef>
              <c:f>Calc!$E$5:$E$22</c:f>
              <c:numCache>
                <c:formatCode>0.0%</c:formatCode>
                <c:ptCount val="18"/>
                <c:pt idx="0">
                  <c:v>0.241820561291261</c:v>
                </c:pt>
                <c:pt idx="1">
                  <c:v>0.249826629680999</c:v>
                </c:pt>
                <c:pt idx="2">
                  <c:v>0.233557407905351</c:v>
                </c:pt>
                <c:pt idx="3">
                  <c:v>0.290327380952381</c:v>
                </c:pt>
                <c:pt idx="4">
                  <c:v>0.235130656469089</c:v>
                </c:pt>
                <c:pt idx="5">
                  <c:v>0.25945945945946</c:v>
                </c:pt>
                <c:pt idx="6">
                  <c:v>0.298064035740879</c:v>
                </c:pt>
                <c:pt idx="7">
                  <c:v>0.263136456211813</c:v>
                </c:pt>
                <c:pt idx="8">
                  <c:v>0.288112009739977</c:v>
                </c:pt>
                <c:pt idx="9">
                  <c:v>0.27657396348746</c:v>
                </c:pt>
                <c:pt idx="10">
                  <c:v>0.282092912204107</c:v>
                </c:pt>
                <c:pt idx="11">
                  <c:v>0.279420125071063</c:v>
                </c:pt>
                <c:pt idx="12">
                  <c:v>0.28737557276031</c:v>
                </c:pt>
                <c:pt idx="13">
                  <c:v>0.272056369367699</c:v>
                </c:pt>
                <c:pt idx="14">
                  <c:v>0.285380301713925</c:v>
                </c:pt>
                <c:pt idx="15">
                  <c:v>0.292255319148936</c:v>
                </c:pt>
                <c:pt idx="16">
                  <c:v>0.284424379232506</c:v>
                </c:pt>
                <c:pt idx="17">
                  <c:v>0.294171656686627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655890"/>
        <c:axId val="38200324"/>
      </c:lineChart>
      <c:catAx>
        <c:axId val="1535966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5142"/>
        <c:crosses val="autoZero"/>
        <c:auto val="1"/>
        <c:lblAlgn val="ctr"/>
        <c:lblOffset val="100"/>
        <c:noMultiLvlLbl val="0"/>
      </c:catAx>
      <c:valAx>
        <c:axId val="799514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59667"/>
        <c:crosses val="autoZero"/>
        <c:crossBetween val="between"/>
      </c:valAx>
      <c:catAx>
        <c:axId val="73655890"/>
        <c:scaling>
          <c:orientation val="minMax"/>
        </c:scaling>
        <c:delete val="0"/>
        <c:axPos val="t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00324"/>
        <c:crosses val="autoZero"/>
        <c:auto val="1"/>
        <c:lblAlgn val="ctr"/>
        <c:lblOffset val="100"/>
        <c:noMultiLvlLbl val="0"/>
      </c:catAx>
      <c:valAx>
        <c:axId val="3820032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GM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5589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vs Actual Volume (kg) – all regions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Calc!J4</c:f>
              <c:strCache>
                <c:ptCount val="1"/>
                <c:pt idx="0">
                  <c:v>Actual Qty (kg)</c:v>
                </c:pt>
              </c:strCache>
            </c:strRef>
          </c:tx>
          <c:spPr>
            <a:solidFill>
              <a:srgbClr val="1f2a44"/>
            </a:solidFill>
            <a:ln w="28080">
              <a:solidFill>
                <a:srgbClr val="1f2a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Calc!$A$5:$A$22</c:f>
              <c:strCache>
                <c:ptCount val="1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</c:strCache>
            </c:strRef>
          </c:cat>
          <c:val>
            <c:numRef>
              <c:f>Calc!$J$5:$J$22</c:f>
              <c:numCache>
                <c:formatCode>#,##0</c:formatCode>
                <c:ptCount val="18"/>
                <c:pt idx="0">
                  <c:v>1125</c:v>
                </c:pt>
                <c:pt idx="1">
                  <c:v>1750</c:v>
                </c:pt>
                <c:pt idx="2">
                  <c:v>1875</c:v>
                </c:pt>
                <c:pt idx="3">
                  <c:v>700</c:v>
                </c:pt>
                <c:pt idx="4">
                  <c:v>1300</c:v>
                </c:pt>
                <c:pt idx="5">
                  <c:v>1400</c:v>
                </c:pt>
                <c:pt idx="6">
                  <c:v>650</c:v>
                </c:pt>
                <c:pt idx="7">
                  <c:v>1050</c:v>
                </c:pt>
                <c:pt idx="8">
                  <c:v>1475</c:v>
                </c:pt>
                <c:pt idx="9">
                  <c:v>2150</c:v>
                </c:pt>
                <c:pt idx="10">
                  <c:v>1875</c:v>
                </c:pt>
                <c:pt idx="11">
                  <c:v>950</c:v>
                </c:pt>
                <c:pt idx="12">
                  <c:v>1525</c:v>
                </c:pt>
                <c:pt idx="13">
                  <c:v>1550</c:v>
                </c:pt>
                <c:pt idx="14">
                  <c:v>1475</c:v>
                </c:pt>
                <c:pt idx="15">
                  <c:v>1500</c:v>
                </c:pt>
                <c:pt idx="16">
                  <c:v>950</c:v>
                </c:pt>
                <c:pt idx="17">
                  <c:v>675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Calc!I4</c:f>
              <c:strCache>
                <c:ptCount val="1"/>
                <c:pt idx="0">
                  <c:v>Forecast Qty (kg)</c:v>
                </c:pt>
              </c:strCache>
            </c:strRef>
          </c:tx>
          <c:spPr>
            <a:solidFill>
              <a:srgbClr val="f28c28"/>
            </a:solidFill>
            <a:ln w="24120">
              <a:solidFill>
                <a:srgbClr val="f28c2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Calc!$A$5:$A$22</c:f>
              <c:strCache>
                <c:ptCount val="1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</c:strCache>
            </c:strRef>
          </c:cat>
          <c:val>
            <c:numRef>
              <c:f>Calc!$I$5:$I$22</c:f>
              <c:numCache>
                <c:formatCode>#,##0</c:formatCode>
                <c:ptCount val="18"/>
                <c:pt idx="0">
                  <c:v>1230</c:v>
                </c:pt>
                <c:pt idx="1">
                  <c:v>1890</c:v>
                </c:pt>
                <c:pt idx="2">
                  <c:v>1790</c:v>
                </c:pt>
                <c:pt idx="3">
                  <c:v>710</c:v>
                </c:pt>
                <c:pt idx="4">
                  <c:v>1320</c:v>
                </c:pt>
                <c:pt idx="5">
                  <c:v>1280</c:v>
                </c:pt>
                <c:pt idx="6">
                  <c:v>640</c:v>
                </c:pt>
                <c:pt idx="7">
                  <c:v>1000</c:v>
                </c:pt>
                <c:pt idx="8">
                  <c:v>1580</c:v>
                </c:pt>
                <c:pt idx="9">
                  <c:v>2060</c:v>
                </c:pt>
                <c:pt idx="10">
                  <c:v>1730</c:v>
                </c:pt>
                <c:pt idx="11">
                  <c:v>1040</c:v>
                </c:pt>
                <c:pt idx="12">
                  <c:v>1690</c:v>
                </c:pt>
                <c:pt idx="13">
                  <c:v>1680</c:v>
                </c:pt>
                <c:pt idx="14">
                  <c:v>1360</c:v>
                </c:pt>
                <c:pt idx="15">
                  <c:v>1410</c:v>
                </c:pt>
                <c:pt idx="16">
                  <c:v>850</c:v>
                </c:pt>
                <c:pt idx="17">
                  <c:v>650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365460"/>
        <c:axId val="14094723"/>
      </c:lineChart>
      <c:catAx>
        <c:axId val="2436546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94723"/>
        <c:crosses val="autoZero"/>
        <c:auto val="1"/>
        <c:lblAlgn val="ctr"/>
        <c:lblOffset val="100"/>
        <c:noMultiLvlLbl val="0"/>
      </c:catAx>
      <c:valAx>
        <c:axId val="14094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654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Shade Family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Calc!B27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f28c28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Calc!$A$28:$A$35</c:f>
              <c:strCache>
                <c:ptCount val="8"/>
                <c:pt idx="0">
                  <c:v>Yellow</c:v>
                </c:pt>
                <c:pt idx="1">
                  <c:v>Orange</c:v>
                </c:pt>
                <c:pt idx="2">
                  <c:v>Red</c:v>
                </c:pt>
                <c:pt idx="3">
                  <c:v>Pink</c:v>
                </c:pt>
                <c:pt idx="4">
                  <c:v>Black</c:v>
                </c:pt>
                <c:pt idx="5">
                  <c:v>Blue / Violet</c:v>
                </c:pt>
                <c:pt idx="6">
                  <c:v>Brown</c:v>
                </c:pt>
                <c:pt idx="7">
                  <c:v>Green</c:v>
                </c:pt>
              </c:strCache>
            </c:strRef>
          </c:cat>
          <c:val>
            <c:numRef>
              <c:f>Calc!$B$28:$B$35</c:f>
              <c:numCache>
                <c:formatCode>0.0</c:formatCode>
                <c:ptCount val="8"/>
                <c:pt idx="0">
                  <c:v>43.83875</c:v>
                </c:pt>
                <c:pt idx="1">
                  <c:v>23.3275</c:v>
                </c:pt>
                <c:pt idx="2">
                  <c:v>42.03125</c:v>
                </c:pt>
                <c:pt idx="3">
                  <c:v>4.3475</c:v>
                </c:pt>
                <c:pt idx="4">
                  <c:v>33.4975</c:v>
                </c:pt>
                <c:pt idx="5">
                  <c:v>38.67125</c:v>
                </c:pt>
                <c:pt idx="6">
                  <c:v>18.54</c:v>
                </c:pt>
                <c:pt idx="7">
                  <c:v>16.09</c:v>
                </c:pt>
              </c:numCache>
            </c:numRef>
          </c:val>
        </c:ser>
        <c:gapWidth val="40"/>
        <c:overlap val="0"/>
        <c:axId val="36033828"/>
        <c:axId val="55140231"/>
      </c:barChart>
      <c:catAx>
        <c:axId val="36033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40231"/>
        <c:crosses val="autoZero"/>
        <c:auto val="1"/>
        <c:lblAlgn val="ctr"/>
        <c:lblOffset val="100"/>
        <c:noMultiLvlLbl val="0"/>
      </c:catAx>
      <c:valAx>
        <c:axId val="5514023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33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Domestic vs Export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Calc!B51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7c8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28c2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Calc!$A$52:$A$53</c:f>
              <c:strCache>
                <c:ptCount val="2"/>
                <c:pt idx="0">
                  <c:v>Domestic</c:v>
                </c:pt>
                <c:pt idx="1">
                  <c:v>Export</c:v>
                </c:pt>
              </c:strCache>
            </c:strRef>
          </c:cat>
          <c:val>
            <c:numRef>
              <c:f>Calc!$B$52:$B$53</c:f>
              <c:numCache>
                <c:formatCode>0.0</c:formatCode>
                <c:ptCount val="2"/>
                <c:pt idx="0">
                  <c:v>90.80375</c:v>
                </c:pt>
                <c:pt idx="1">
                  <c:v>129.54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Application Segment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Calc!B39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Calc!$A$40:$A$47</c:f>
              <c:strCache>
                <c:ptCount val="8"/>
                <c:pt idx="0">
                  <c:v>Metallised Film &amp; Foil Coating</c:v>
                </c:pt>
                <c:pt idx="1">
                  <c:v>Wood Stains &amp; Lacquers</c:v>
                </c:pt>
                <c:pt idx="2">
                  <c:v>Leather Finishing</c:v>
                </c:pt>
                <c:pt idx="3">
                  <c:v>Printing Inks (Flexo / Gravure)</c:v>
                </c:pt>
                <c:pt idx="4">
                  <c:v>Aluminium &amp; Metal Coating</c:v>
                </c:pt>
                <c:pt idx="5">
                  <c:v>Hot Foil Stamping</c:v>
                </c:pt>
                <c:pt idx="6">
                  <c:v>Plastics &amp; PVC Colouring</c:v>
                </c:pt>
                <c:pt idx="7">
                  <c:v>Pen &amp; Marker Inks</c:v>
                </c:pt>
              </c:strCache>
            </c:strRef>
          </c:cat>
          <c:val>
            <c:numRef>
              <c:f>Calc!$B$40:$B$47</c:f>
              <c:numCache>
                <c:formatCode>0.0</c:formatCode>
                <c:ptCount val="8"/>
                <c:pt idx="0">
                  <c:v>48.0525</c:v>
                </c:pt>
                <c:pt idx="1">
                  <c:v>15.94625</c:v>
                </c:pt>
                <c:pt idx="2">
                  <c:v>8.9225</c:v>
                </c:pt>
                <c:pt idx="3">
                  <c:v>23.99875</c:v>
                </c:pt>
                <c:pt idx="4">
                  <c:v>47.10625</c:v>
                </c:pt>
                <c:pt idx="5">
                  <c:v>52.37125</c:v>
                </c:pt>
                <c:pt idx="6">
                  <c:v>3.15</c:v>
                </c:pt>
                <c:pt idx="7">
                  <c:v>20.79625</c:v>
                </c:pt>
              </c:numCache>
            </c:numRef>
          </c:val>
        </c:ser>
        <c:gapWidth val="40"/>
        <c:overlap val="0"/>
        <c:axId val="48764181"/>
        <c:axId val="52450450"/>
      </c:barChart>
      <c:catAx>
        <c:axId val="4876418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50450"/>
        <c:crosses val="autoZero"/>
        <c:auto val="1"/>
        <c:lblAlgn val="ctr"/>
        <c:lblOffset val="100"/>
        <c:noMultiLvlLbl val="0"/>
      </c:catAx>
      <c:valAx>
        <c:axId val="5245045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641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Shades by Revenue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Calc!B110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d7263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Calc!$A$111:$A$120</c:f>
              <c:strCache>
                <c:ptCount val="10"/>
                <c:pt idx="0">
                  <c:v>Yellow 2R</c:v>
                </c:pt>
                <c:pt idx="1">
                  <c:v>Royal Blue</c:v>
                </c:pt>
                <c:pt idx="2">
                  <c:v>Red 3BLS</c:v>
                </c:pt>
                <c:pt idx="3">
                  <c:v>Green GL</c:v>
                </c:pt>
                <c:pt idx="4">
                  <c:v>Red 2BL</c:v>
                </c:pt>
                <c:pt idx="5">
                  <c:v>Black RE</c:v>
                </c:pt>
                <c:pt idx="6">
                  <c:v>Jet Black</c:v>
                </c:pt>
                <c:pt idx="7">
                  <c:v>Orange 2R</c:v>
                </c:pt>
                <c:pt idx="8">
                  <c:v>Yellow 2RLS</c:v>
                </c:pt>
                <c:pt idx="9">
                  <c:v>Blue 2GLN</c:v>
                </c:pt>
              </c:strCache>
            </c:strRef>
          </c:cat>
          <c:val>
            <c:numRef>
              <c:f>Calc!$B$111:$B$120</c:f>
              <c:numCache>
                <c:formatCode>0.0</c:formatCode>
                <c:ptCount val="10"/>
                <c:pt idx="0">
                  <c:v>8.12875</c:v>
                </c:pt>
                <c:pt idx="1">
                  <c:v>8.595</c:v>
                </c:pt>
                <c:pt idx="2">
                  <c:v>8.90125</c:v>
                </c:pt>
                <c:pt idx="3">
                  <c:v>9.155</c:v>
                </c:pt>
                <c:pt idx="4">
                  <c:v>9.75125</c:v>
                </c:pt>
                <c:pt idx="5">
                  <c:v>10.115</c:v>
                </c:pt>
                <c:pt idx="6">
                  <c:v>14.45875</c:v>
                </c:pt>
                <c:pt idx="7">
                  <c:v>14.87</c:v>
                </c:pt>
                <c:pt idx="8">
                  <c:v>19.88</c:v>
                </c:pt>
                <c:pt idx="9">
                  <c:v>21.385</c:v>
                </c:pt>
              </c:numCache>
            </c:numRef>
          </c:val>
        </c:ser>
        <c:gapWidth val="35"/>
        <c:overlap val="0"/>
        <c:axId val="36520851"/>
        <c:axId val="82752692"/>
      </c:barChart>
      <c:catAx>
        <c:axId val="365208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52692"/>
        <c:crosses val="autoZero"/>
        <c:auto val="1"/>
        <c:lblAlgn val="ctr"/>
        <c:lblOffset val="100"/>
        <c:noMultiLvlLbl val="0"/>
      </c:catAx>
      <c:valAx>
        <c:axId val="8275269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20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Customers by Revenue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Calc!E110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7b3f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Calc!$D$111:$D$118</c:f>
              <c:strCache>
                <c:ptCount val="8"/>
                <c:pt idx="0">
                  <c:v>Sri Lakshmi Leather Chemicals</c:v>
                </c:pt>
                <c:pt idx="1">
                  <c:v>Ningbo Metallic Film Co., Ltd.</c:v>
                </c:pt>
                <c:pt idx="2">
                  <c:v>Bangkok Ink &amp; Resin Co., Ltd.</c:v>
                </c:pt>
                <c:pt idx="3">
                  <c:v>Saigon Coatings JSC</c:v>
                </c:pt>
                <c:pt idx="4">
                  <c:v>Jay Ambe Metallizers Pvt. Ltd.</c:v>
                </c:pt>
                <c:pt idx="5">
                  <c:v>Pioneer Foils &amp; Films Pvt. Ltd.</c:v>
                </c:pt>
                <c:pt idx="6">
                  <c:v>Guangzhou Huaxin Coatings Co., Ltd.</c:v>
                </c:pt>
                <c:pt idx="7">
                  <c:v>Sao Paulo Foil Tech Ltda</c:v>
                </c:pt>
              </c:strCache>
            </c:strRef>
          </c:cat>
          <c:val>
            <c:numRef>
              <c:f>Calc!$E$111:$E$118</c:f>
              <c:numCache>
                <c:formatCode>0.0</c:formatCode>
                <c:ptCount val="8"/>
                <c:pt idx="0">
                  <c:v>11.05</c:v>
                </c:pt>
                <c:pt idx="1">
                  <c:v>15.17875</c:v>
                </c:pt>
                <c:pt idx="2">
                  <c:v>16.82</c:v>
                </c:pt>
                <c:pt idx="3">
                  <c:v>24.4</c:v>
                </c:pt>
                <c:pt idx="4">
                  <c:v>27.465</c:v>
                </c:pt>
                <c:pt idx="5">
                  <c:v>32.4575</c:v>
                </c:pt>
                <c:pt idx="6">
                  <c:v>32.57875</c:v>
                </c:pt>
                <c:pt idx="7">
                  <c:v>40.5625</c:v>
                </c:pt>
              </c:numCache>
            </c:numRef>
          </c:val>
        </c:ser>
        <c:gapWidth val="35"/>
        <c:overlap val="0"/>
        <c:axId val="93130706"/>
        <c:axId val="73958116"/>
      </c:barChart>
      <c:catAx>
        <c:axId val="93130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58116"/>
        <c:crosses val="autoZero"/>
        <c:auto val="1"/>
        <c:lblAlgn val="ctr"/>
        <c:lblOffset val="100"/>
        <c:noMultiLvlLbl val="0"/>
      </c:catAx>
      <c:valAx>
        <c:axId val="7395811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30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2023 vs 2024 by Month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Calc!M4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Calc!$L$5:$L$16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Calc!$M$5:$M$16</c:f>
              <c:numCache>
                <c:formatCode>0.0</c:formatCode>
                <c:ptCount val="12"/>
                <c:pt idx="0">
                  <c:v>8.59625</c:v>
                </c:pt>
                <c:pt idx="1">
                  <c:v>14.42</c:v>
                </c:pt>
                <c:pt idx="2">
                  <c:v>13.94625</c:v>
                </c:pt>
                <c:pt idx="3">
                  <c:v>6.72</c:v>
                </c:pt>
                <c:pt idx="4">
                  <c:v>9.80625</c:v>
                </c:pt>
                <c:pt idx="5">
                  <c:v>13.135</c:v>
                </c:pt>
                <c:pt idx="6">
                  <c:v>6.715</c:v>
                </c:pt>
                <c:pt idx="7">
                  <c:v>8.5925</c:v>
                </c:pt>
                <c:pt idx="8">
                  <c:v>14.37375</c:v>
                </c:pt>
                <c:pt idx="9">
                  <c:v>21.97875</c:v>
                </c:pt>
                <c:pt idx="10">
                  <c:v>18.32375</c:v>
                </c:pt>
                <c:pt idx="11">
                  <c:v>8.795</c:v>
                </c:pt>
              </c:numCache>
            </c:numRef>
          </c:val>
        </c:ser>
        <c:ser>
          <c:idx val="1"/>
          <c:order val="1"/>
          <c:tx>
            <c:strRef>
              <c:f>Calc!N4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28c2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Calc!$L$5:$L$16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Calc!$N$5:$N$16</c:f>
              <c:numCache>
                <c:formatCode>0.0</c:formatCode>
                <c:ptCount val="12"/>
                <c:pt idx="0">
                  <c:v>15.8225</c:v>
                </c:pt>
                <c:pt idx="1">
                  <c:v>13.4825</c:v>
                </c:pt>
                <c:pt idx="2">
                  <c:v>15.82625</c:v>
                </c:pt>
                <c:pt idx="3">
                  <c:v>14.6875</c:v>
                </c:pt>
                <c:pt idx="4">
                  <c:v>8.86</c:v>
                </c:pt>
                <c:pt idx="5">
                  <c:v>6.2625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28623644"/>
        <c:axId val="67173346"/>
      </c:barChart>
      <c:catAx>
        <c:axId val="286236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73346"/>
        <c:crosses val="autoZero"/>
        <c:auto val="1"/>
        <c:lblAlgn val="ctr"/>
        <c:lblOffset val="100"/>
        <c:noMultiLvlLbl val="0"/>
      </c:catAx>
      <c:valAx>
        <c:axId val="6717334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236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Shade Family: Jan–Jun 2023 vs Jan–Jun 2024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Calc!M22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Calc!$L$23:$L$30</c:f>
              <c:strCache>
                <c:ptCount val="8"/>
                <c:pt idx="0">
                  <c:v>Yellow</c:v>
                </c:pt>
                <c:pt idx="1">
                  <c:v>Orange</c:v>
                </c:pt>
                <c:pt idx="2">
                  <c:v>Red</c:v>
                </c:pt>
                <c:pt idx="3">
                  <c:v>Pink</c:v>
                </c:pt>
                <c:pt idx="4">
                  <c:v>Black</c:v>
                </c:pt>
                <c:pt idx="5">
                  <c:v>Blue / Violet</c:v>
                </c:pt>
                <c:pt idx="6">
                  <c:v>Brown</c:v>
                </c:pt>
                <c:pt idx="7">
                  <c:v>Green</c:v>
                </c:pt>
              </c:strCache>
            </c:strRef>
          </c:cat>
          <c:val>
            <c:numRef>
              <c:f>Calc!$M$23:$M$30</c:f>
              <c:numCache>
                <c:formatCode>0.0</c:formatCode>
                <c:ptCount val="8"/>
                <c:pt idx="0">
                  <c:v>20.64375</c:v>
                </c:pt>
                <c:pt idx="1">
                  <c:v>1.375</c:v>
                </c:pt>
                <c:pt idx="2">
                  <c:v>9.29</c:v>
                </c:pt>
                <c:pt idx="3">
                  <c:v>0</c:v>
                </c:pt>
                <c:pt idx="4">
                  <c:v>16.01</c:v>
                </c:pt>
                <c:pt idx="5">
                  <c:v>6.41125</c:v>
                </c:pt>
                <c:pt idx="6">
                  <c:v>7.37125</c:v>
                </c:pt>
                <c:pt idx="7">
                  <c:v>5.5225</c:v>
                </c:pt>
              </c:numCache>
            </c:numRef>
          </c:val>
        </c:ser>
        <c:ser>
          <c:idx val="1"/>
          <c:order val="1"/>
          <c:tx>
            <c:strRef>
              <c:f>Calc!N22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28c2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Calc!$L$23:$L$30</c:f>
              <c:strCache>
                <c:ptCount val="8"/>
                <c:pt idx="0">
                  <c:v>Yellow</c:v>
                </c:pt>
                <c:pt idx="1">
                  <c:v>Orange</c:v>
                </c:pt>
                <c:pt idx="2">
                  <c:v>Red</c:v>
                </c:pt>
                <c:pt idx="3">
                  <c:v>Pink</c:v>
                </c:pt>
                <c:pt idx="4">
                  <c:v>Black</c:v>
                </c:pt>
                <c:pt idx="5">
                  <c:v>Blue / Violet</c:v>
                </c:pt>
                <c:pt idx="6">
                  <c:v>Brown</c:v>
                </c:pt>
                <c:pt idx="7">
                  <c:v>Green</c:v>
                </c:pt>
              </c:strCache>
            </c:strRef>
          </c:cat>
          <c:val>
            <c:numRef>
              <c:f>Calc!$N$23:$N$30</c:f>
              <c:numCache>
                <c:formatCode>0.0</c:formatCode>
                <c:ptCount val="8"/>
                <c:pt idx="0">
                  <c:v>10.40875</c:v>
                </c:pt>
                <c:pt idx="1">
                  <c:v>9.9375</c:v>
                </c:pt>
                <c:pt idx="2">
                  <c:v>11.64875</c:v>
                </c:pt>
                <c:pt idx="3">
                  <c:v>0.6475</c:v>
                </c:pt>
                <c:pt idx="4">
                  <c:v>11.665</c:v>
                </c:pt>
                <c:pt idx="5">
                  <c:v>19.94125</c:v>
                </c:pt>
                <c:pt idx="6">
                  <c:v>4.38</c:v>
                </c:pt>
                <c:pt idx="7">
                  <c:v>6.3125</c:v>
                </c:pt>
              </c:numCache>
            </c:numRef>
          </c:val>
        </c:ser>
        <c:gapWidth val="60"/>
        <c:overlap val="0"/>
        <c:axId val="27700048"/>
        <c:axId val="31335054"/>
      </c:barChart>
      <c:catAx>
        <c:axId val="2770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35054"/>
        <c:crosses val="autoZero"/>
        <c:auto val="1"/>
        <c:lblAlgn val="ctr"/>
        <c:lblOffset val="100"/>
        <c:noMultiLvlLbl val="0"/>
      </c:catAx>
      <c:valAx>
        <c:axId val="3133505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000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13</xdr:col>
      <xdr:colOff>30600</xdr:colOff>
      <xdr:row>23</xdr:row>
      <xdr:rowOff>187200</xdr:rowOff>
    </xdr:to>
    <xdr:graphicFrame>
      <xdr:nvGraphicFramePr>
        <xdr:cNvPr id="0" name="Chart 1"/>
        <xdr:cNvGraphicFramePr/>
      </xdr:nvGraphicFramePr>
      <xdr:xfrm>
        <a:off x="141120" y="1905120"/>
        <a:ext cx="730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</xdr:row>
      <xdr:rowOff>0</xdr:rowOff>
    </xdr:from>
    <xdr:to>
      <xdr:col>25</xdr:col>
      <xdr:colOff>30600</xdr:colOff>
      <xdr:row>23</xdr:row>
      <xdr:rowOff>187200</xdr:rowOff>
    </xdr:to>
    <xdr:graphicFrame>
      <xdr:nvGraphicFramePr>
        <xdr:cNvPr id="1" name="Chart 2"/>
        <xdr:cNvGraphicFramePr/>
      </xdr:nvGraphicFramePr>
      <xdr:xfrm>
        <a:off x="7418160" y="1905120"/>
        <a:ext cx="730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9</xdr:col>
      <xdr:colOff>44280</xdr:colOff>
      <xdr:row>39</xdr:row>
      <xdr:rowOff>186840</xdr:rowOff>
    </xdr:to>
    <xdr:graphicFrame>
      <xdr:nvGraphicFramePr>
        <xdr:cNvPr id="2" name="Chart 3"/>
        <xdr:cNvGraphicFramePr/>
      </xdr:nvGraphicFramePr>
      <xdr:xfrm>
        <a:off x="141120" y="4952880"/>
        <a:ext cx="4895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17</xdr:col>
      <xdr:colOff>44280</xdr:colOff>
      <xdr:row>39</xdr:row>
      <xdr:rowOff>186840</xdr:rowOff>
    </xdr:to>
    <xdr:graphicFrame>
      <xdr:nvGraphicFramePr>
        <xdr:cNvPr id="3" name="Chart 4"/>
        <xdr:cNvGraphicFramePr/>
      </xdr:nvGraphicFramePr>
      <xdr:xfrm>
        <a:off x="4992480" y="4952880"/>
        <a:ext cx="4895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26</xdr:row>
      <xdr:rowOff>0</xdr:rowOff>
    </xdr:from>
    <xdr:to>
      <xdr:col>25</xdr:col>
      <xdr:colOff>44280</xdr:colOff>
      <xdr:row>39</xdr:row>
      <xdr:rowOff>186840</xdr:rowOff>
    </xdr:to>
    <xdr:graphicFrame>
      <xdr:nvGraphicFramePr>
        <xdr:cNvPr id="4" name="Chart 5"/>
        <xdr:cNvGraphicFramePr/>
      </xdr:nvGraphicFramePr>
      <xdr:xfrm>
        <a:off x="9843840" y="4952880"/>
        <a:ext cx="4895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42</xdr:row>
      <xdr:rowOff>0</xdr:rowOff>
    </xdr:from>
    <xdr:to>
      <xdr:col>13</xdr:col>
      <xdr:colOff>30600</xdr:colOff>
      <xdr:row>57</xdr:row>
      <xdr:rowOff>21960</xdr:rowOff>
    </xdr:to>
    <xdr:graphicFrame>
      <xdr:nvGraphicFramePr>
        <xdr:cNvPr id="5" name="Chart 6"/>
        <xdr:cNvGraphicFramePr/>
      </xdr:nvGraphicFramePr>
      <xdr:xfrm>
        <a:off x="141120" y="8001000"/>
        <a:ext cx="730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42</xdr:row>
      <xdr:rowOff>0</xdr:rowOff>
    </xdr:from>
    <xdr:to>
      <xdr:col>25</xdr:col>
      <xdr:colOff>30600</xdr:colOff>
      <xdr:row>57</xdr:row>
      <xdr:rowOff>21960</xdr:rowOff>
    </xdr:to>
    <xdr:graphicFrame>
      <xdr:nvGraphicFramePr>
        <xdr:cNvPr id="6" name="Chart 7"/>
        <xdr:cNvGraphicFramePr/>
      </xdr:nvGraphicFramePr>
      <xdr:xfrm>
        <a:off x="7418160" y="8001000"/>
        <a:ext cx="730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60</xdr:row>
      <xdr:rowOff>0</xdr:rowOff>
    </xdr:from>
    <xdr:to>
      <xdr:col>13</xdr:col>
      <xdr:colOff>30600</xdr:colOff>
      <xdr:row>75</xdr:row>
      <xdr:rowOff>21960</xdr:rowOff>
    </xdr:to>
    <xdr:graphicFrame>
      <xdr:nvGraphicFramePr>
        <xdr:cNvPr id="7" name="Chart 8"/>
        <xdr:cNvGraphicFramePr/>
      </xdr:nvGraphicFramePr>
      <xdr:xfrm>
        <a:off x="141120" y="11430000"/>
        <a:ext cx="730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13</xdr:col>
      <xdr:colOff>0</xdr:colOff>
      <xdr:row>60</xdr:row>
      <xdr:rowOff>0</xdr:rowOff>
    </xdr:from>
    <xdr:to>
      <xdr:col>25</xdr:col>
      <xdr:colOff>30600</xdr:colOff>
      <xdr:row>75</xdr:row>
      <xdr:rowOff>21960</xdr:rowOff>
    </xdr:to>
    <xdr:graphicFrame>
      <xdr:nvGraphicFramePr>
        <xdr:cNvPr id="8" name="Chart 9"/>
        <xdr:cNvGraphicFramePr/>
      </xdr:nvGraphicFramePr>
      <xdr:xfrm>
        <a:off x="7418160" y="11430000"/>
        <a:ext cx="730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8.61"/>
    <col collapsed="false" customWidth="true" hidden="false" outlineLevel="0" max="26" min="26" style="0" width="2"/>
  </cols>
  <sheetData>
    <row r="1" customFormat="false" ht="15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1</v>
      </c>
      <c r="U1" s="3"/>
      <c r="V1" s="3"/>
      <c r="W1" s="3"/>
      <c r="X1" s="3"/>
      <c r="Y1" s="3"/>
      <c r="Z1" s="1"/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1"/>
    </row>
    <row r="4" customFormat="false" ht="15" hidden="false" customHeight="false" outlineLevel="0" collapsed="false">
      <c r="B4" s="4" t="s">
        <v>2</v>
      </c>
      <c r="C4" s="4"/>
      <c r="D4" s="5" t="s">
        <v>3</v>
      </c>
      <c r="E4" s="5"/>
      <c r="F4" s="4" t="s">
        <v>4</v>
      </c>
      <c r="G4" s="4"/>
      <c r="H4" s="5" t="s">
        <v>3</v>
      </c>
      <c r="I4" s="5"/>
      <c r="J4" s="6" t="s">
        <v>5</v>
      </c>
    </row>
    <row r="6" customFormat="false" ht="15" hidden="false" customHeight="false" outlineLevel="0" collapsed="false">
      <c r="B6" s="7" t="s">
        <v>6</v>
      </c>
      <c r="C6" s="7"/>
      <c r="D6" s="7"/>
      <c r="E6" s="7"/>
      <c r="F6" s="8" t="s">
        <v>7</v>
      </c>
      <c r="G6" s="8"/>
      <c r="H6" s="8"/>
      <c r="I6" s="8"/>
      <c r="J6" s="9" t="s">
        <v>8</v>
      </c>
      <c r="K6" s="9"/>
      <c r="L6" s="9"/>
      <c r="M6" s="9"/>
      <c r="N6" s="10" t="s">
        <v>9</v>
      </c>
      <c r="O6" s="10"/>
      <c r="P6" s="10"/>
      <c r="Q6" s="10"/>
      <c r="R6" s="11" t="s">
        <v>10</v>
      </c>
      <c r="S6" s="11"/>
      <c r="T6" s="11"/>
      <c r="U6" s="11"/>
      <c r="V6" s="12" t="s">
        <v>11</v>
      </c>
      <c r="W6" s="12"/>
      <c r="X6" s="12"/>
      <c r="Y6" s="12"/>
    </row>
    <row r="7" customFormat="false" ht="15" hidden="false" customHeight="false" outlineLevel="0" collapsed="false">
      <c r="B7" s="13" t="n">
        <f aca="false">Calc!$B$124</f>
        <v>220.34375</v>
      </c>
      <c r="C7" s="13"/>
      <c r="D7" s="13"/>
      <c r="E7" s="13"/>
      <c r="F7" s="14" t="n">
        <f aca="false">Calc!$B$125</f>
        <v>23975</v>
      </c>
      <c r="G7" s="14"/>
      <c r="H7" s="14"/>
      <c r="I7" s="14"/>
      <c r="J7" s="15" t="n">
        <f aca="false">Calc!$B$127</f>
        <v>0.272748829953198</v>
      </c>
      <c r="K7" s="15"/>
      <c r="L7" s="15"/>
      <c r="M7" s="15"/>
      <c r="N7" s="16" t="n">
        <f aca="false">Calc!$B$128</f>
        <v>200</v>
      </c>
      <c r="O7" s="16"/>
      <c r="P7" s="16"/>
      <c r="Q7" s="16"/>
      <c r="R7" s="17" t="n">
        <f aca="false">Calc!$B$129</f>
        <v>919.056308654849</v>
      </c>
      <c r="S7" s="17"/>
      <c r="T7" s="17"/>
      <c r="U7" s="17"/>
      <c r="V7" s="15" t="n">
        <f aca="false">Calc!$B$132</f>
        <v>0.792746113989637</v>
      </c>
      <c r="W7" s="15"/>
      <c r="X7" s="15"/>
      <c r="Y7" s="15"/>
    </row>
    <row r="8" customFormat="false" ht="15" hidden="false" customHeight="false" outlineLevel="0" collapsed="false">
      <c r="B8" s="13"/>
      <c r="C8" s="13"/>
      <c r="D8" s="13"/>
      <c r="E8" s="13"/>
      <c r="F8" s="14"/>
      <c r="G8" s="14"/>
      <c r="H8" s="14"/>
      <c r="I8" s="14"/>
      <c r="J8" s="15"/>
      <c r="K8" s="15"/>
      <c r="L8" s="15"/>
      <c r="M8" s="15"/>
      <c r="N8" s="16"/>
      <c r="O8" s="16"/>
      <c r="P8" s="16"/>
      <c r="Q8" s="16"/>
      <c r="R8" s="17"/>
      <c r="S8" s="17"/>
      <c r="T8" s="17"/>
      <c r="U8" s="17"/>
      <c r="V8" s="15"/>
      <c r="W8" s="15"/>
      <c r="X8" s="15"/>
      <c r="Y8" s="15"/>
    </row>
    <row r="9" customFormat="false" ht="15" hidden="false" customHeight="false" outlineLevel="0" collapsed="false">
      <c r="B9" s="18" t="str">
        <f aca="false">"Avg order ₹ "&amp;TEXT(Calc!$B$124*100000/Calc!$B$128/1000,"0.0")&amp;"K"</f>
        <v>Avg order ₹ 110.2K</v>
      </c>
      <c r="C9" s="18"/>
      <c r="D9" s="18"/>
      <c r="E9" s="18"/>
      <c r="F9" s="18" t="str">
        <f aca="false">"Export share "&amp;TEXT(Calc!$B$133,"0%")&amp;" of total"</f>
        <v>Export share 59% of total</v>
      </c>
      <c r="G9" s="18"/>
      <c r="H9" s="18"/>
      <c r="I9" s="18"/>
      <c r="J9" s="18" t="str">
        <f aca="false">"₹ "&amp;TEXT(Calc!$B$126,"0.0")&amp;" Lakh"</f>
        <v>₹ 60.1 Lakh</v>
      </c>
      <c r="K9" s="18"/>
      <c r="L9" s="18"/>
      <c r="M9" s="18"/>
      <c r="N9" s="18" t="str">
        <f aca="false">Calc!$B$134&amp;" open (not dispatched)"</f>
        <v>7 open (not dispatched)</v>
      </c>
      <c r="O9" s="18"/>
      <c r="P9" s="18"/>
      <c r="Q9" s="18"/>
      <c r="R9" s="18" t="s">
        <v>12</v>
      </c>
      <c r="S9" s="18"/>
      <c r="T9" s="18"/>
      <c r="U9" s="18"/>
      <c r="V9" s="18" t="str">
        <f aca="false">"Avg lead time "&amp;TEXT(Calc!$B$135,"0.0")&amp;" days"</f>
        <v>Avg lead time 17.8 days</v>
      </c>
      <c r="W9" s="18"/>
      <c r="X9" s="18"/>
      <c r="Y9" s="18"/>
    </row>
    <row r="60" customFormat="false" ht="15" hidden="false" customHeight="false" outlineLevel="0" collapsed="false">
      <c r="B60" s="19" t="str">
        <f aca="false">Calc!L33</f>
        <v>Like-for-like Jan–Jun:  2023 ₹ 66.6 L   vs   2024 ₹ 74.9 L   (+12.5%)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78" customFormat="false" ht="15" hidden="false" customHeight="false" outlineLevel="0" collapsed="false">
      <c r="B78" s="20" t="s">
        <v>13</v>
      </c>
    </row>
  </sheetData>
  <mergeCells count="25">
    <mergeCell ref="B1:S2"/>
    <mergeCell ref="T1:Y2"/>
    <mergeCell ref="B4:C4"/>
    <mergeCell ref="D4:E4"/>
    <mergeCell ref="F4:G4"/>
    <mergeCell ref="H4:I4"/>
    <mergeCell ref="B6:E6"/>
    <mergeCell ref="F6:I6"/>
    <mergeCell ref="J6:M6"/>
    <mergeCell ref="N6:Q6"/>
    <mergeCell ref="R6:U6"/>
    <mergeCell ref="V6:Y6"/>
    <mergeCell ref="B7:E8"/>
    <mergeCell ref="F7:I8"/>
    <mergeCell ref="J7:M8"/>
    <mergeCell ref="N7:Q8"/>
    <mergeCell ref="R7:U8"/>
    <mergeCell ref="V7:Y8"/>
    <mergeCell ref="B9:E9"/>
    <mergeCell ref="F9:I9"/>
    <mergeCell ref="J9:M9"/>
    <mergeCell ref="N9:Q9"/>
    <mergeCell ref="R9:U9"/>
    <mergeCell ref="V9:Y9"/>
    <mergeCell ref="B60:Y60"/>
  </mergeCells>
  <dataValidations count="2">
    <dataValidation allowBlank="false" errorStyle="stop" operator="between" showDropDown="false" showErrorMessage="false" showInputMessage="false" sqref="D4" type="list">
      <formula1>"All,Domestic,Export"</formula1>
      <formula2>0</formula2>
    </dataValidation>
    <dataValidation allowBlank="false" errorStyle="stop" operator="between" showDropDown="false" showErrorMessage="false" showInputMessage="false" sqref="H4" type="list">
      <formula1>"All,2023,2024"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8" min="17" style="0" width="12"/>
    <col collapsed="false" customWidth="true" hidden="false" outlineLevel="0" max="19" min="19" style="0" width="16"/>
    <col collapsed="false" customWidth="true" hidden="false" outlineLevel="0" max="20" min="20" style="0" width="9"/>
    <col collapsed="false" customWidth="true" hidden="false" outlineLevel="0" max="21" min="21" style="0" width="8"/>
  </cols>
  <sheetData>
    <row r="1" customFormat="false" ht="31.5" hidden="false" customHeight="true" outlineLevel="0" collapsed="false">
      <c r="A1" s="21" t="s">
        <v>14</v>
      </c>
      <c r="B1" s="21" t="s">
        <v>15</v>
      </c>
      <c r="C1" s="21" t="s">
        <v>16</v>
      </c>
      <c r="D1" s="21" t="s">
        <v>17</v>
      </c>
      <c r="E1" s="21" t="s">
        <v>18</v>
      </c>
      <c r="F1" s="21" t="s">
        <v>19</v>
      </c>
      <c r="G1" s="21" t="s">
        <v>20</v>
      </c>
      <c r="H1" s="21" t="s">
        <v>21</v>
      </c>
      <c r="I1" s="21" t="s">
        <v>22</v>
      </c>
      <c r="J1" s="21" t="s">
        <v>23</v>
      </c>
      <c r="K1" s="21" t="s">
        <v>24</v>
      </c>
      <c r="L1" s="21" t="s">
        <v>25</v>
      </c>
      <c r="M1" s="21" t="s">
        <v>26</v>
      </c>
      <c r="N1" s="21" t="s">
        <v>27</v>
      </c>
      <c r="O1" s="21" t="s">
        <v>28</v>
      </c>
      <c r="P1" s="21" t="s">
        <v>29</v>
      </c>
      <c r="Q1" s="21" t="s">
        <v>30</v>
      </c>
      <c r="R1" s="21" t="s">
        <v>31</v>
      </c>
      <c r="S1" s="21" t="s">
        <v>32</v>
      </c>
      <c r="T1" s="21" t="s">
        <v>33</v>
      </c>
      <c r="U1" s="21" t="s">
        <v>34</v>
      </c>
    </row>
    <row r="2" customFormat="false" ht="15" hidden="false" customHeight="false" outlineLevel="0" collapsed="false">
      <c r="A2" s="22" t="s">
        <v>35</v>
      </c>
      <c r="B2" s="23" t="n">
        <v>44930</v>
      </c>
      <c r="C2" s="24" t="n">
        <f aca="false">IF(B2="","",DATE(YEAR(B2),MONTH(B2),1))</f>
        <v>44927</v>
      </c>
      <c r="D2" s="22" t="s">
        <v>36</v>
      </c>
      <c r="E2" s="22" t="s">
        <v>37</v>
      </c>
      <c r="F2" s="22" t="s">
        <v>38</v>
      </c>
      <c r="G2" s="22" t="s">
        <v>39</v>
      </c>
      <c r="H2" s="22" t="s">
        <v>40</v>
      </c>
      <c r="I2" s="22" t="s">
        <v>41</v>
      </c>
      <c r="J2" s="22" t="s">
        <v>42</v>
      </c>
      <c r="K2" s="22" t="s">
        <v>43</v>
      </c>
      <c r="L2" s="25" t="n">
        <v>300</v>
      </c>
      <c r="M2" s="25" t="n">
        <v>805</v>
      </c>
      <c r="N2" s="26" t="n">
        <f aca="false">IF(L2="","",L2*M2)</f>
        <v>241500</v>
      </c>
      <c r="O2" s="25" t="n">
        <v>604</v>
      </c>
      <c r="P2" s="26" t="n">
        <f aca="false">IF(L2="","",N2-L2*O2)</f>
        <v>60300</v>
      </c>
      <c r="Q2" s="27" t="n">
        <v>30</v>
      </c>
      <c r="R2" s="27" t="n">
        <v>29</v>
      </c>
      <c r="S2" s="22" t="s">
        <v>44</v>
      </c>
      <c r="T2" s="22" t="str">
        <f aca="false">IF(R2="","",IF(R2&lt;=Q2,"Yes","No"))</f>
        <v>Yes</v>
      </c>
      <c r="U2" s="22" t="str">
        <f aca="false">IF(B2="","",TEXT(YEAR(B2),"0"))</f>
        <v>2023</v>
      </c>
    </row>
    <row r="3" customFormat="false" ht="15" hidden="false" customHeight="false" outlineLevel="0" collapsed="false">
      <c r="A3" s="22" t="s">
        <v>45</v>
      </c>
      <c r="B3" s="23" t="n">
        <v>44930</v>
      </c>
      <c r="C3" s="24" t="n">
        <f aca="false">IF(B3="","",DATE(YEAR(B3),MONTH(B3),1))</f>
        <v>44927</v>
      </c>
      <c r="D3" s="22" t="s">
        <v>46</v>
      </c>
      <c r="E3" s="22" t="s">
        <v>47</v>
      </c>
      <c r="F3" s="22" t="s">
        <v>48</v>
      </c>
      <c r="G3" s="22" t="s">
        <v>49</v>
      </c>
      <c r="H3" s="22" t="s">
        <v>50</v>
      </c>
      <c r="I3" s="22" t="s">
        <v>41</v>
      </c>
      <c r="J3" s="22" t="s">
        <v>51</v>
      </c>
      <c r="K3" s="22" t="s">
        <v>52</v>
      </c>
      <c r="L3" s="25" t="n">
        <v>25</v>
      </c>
      <c r="M3" s="25" t="n">
        <v>815</v>
      </c>
      <c r="N3" s="26" t="n">
        <f aca="false">IF(L3="","",L3*M3)</f>
        <v>20375</v>
      </c>
      <c r="O3" s="25" t="n">
        <v>567</v>
      </c>
      <c r="P3" s="26" t="n">
        <f aca="false">IF(L3="","",N3-L3*O3)</f>
        <v>6200</v>
      </c>
      <c r="Q3" s="27" t="n">
        <v>15</v>
      </c>
      <c r="R3" s="27" t="n">
        <v>14</v>
      </c>
      <c r="S3" s="22" t="s">
        <v>44</v>
      </c>
      <c r="T3" s="22" t="str">
        <f aca="false">IF(R3="","",IF(R3&lt;=Q3,"Yes","No"))</f>
        <v>Yes</v>
      </c>
      <c r="U3" s="22" t="str">
        <f aca="false">IF(B3="","",TEXT(YEAR(B3),"0"))</f>
        <v>2023</v>
      </c>
    </row>
    <row r="4" customFormat="false" ht="15" hidden="false" customHeight="false" outlineLevel="0" collapsed="false">
      <c r="A4" s="22" t="s">
        <v>53</v>
      </c>
      <c r="B4" s="23" t="n">
        <v>44931</v>
      </c>
      <c r="C4" s="24" t="n">
        <f aca="false">IF(B4="","",DATE(YEAR(B4),MONTH(B4),1))</f>
        <v>44927</v>
      </c>
      <c r="D4" s="22" t="s">
        <v>54</v>
      </c>
      <c r="E4" s="22" t="s">
        <v>47</v>
      </c>
      <c r="F4" s="22" t="s">
        <v>55</v>
      </c>
      <c r="G4" s="22" t="s">
        <v>56</v>
      </c>
      <c r="H4" s="22" t="s">
        <v>57</v>
      </c>
      <c r="I4" s="22" t="s">
        <v>58</v>
      </c>
      <c r="J4" s="22" t="s">
        <v>51</v>
      </c>
      <c r="K4" s="22" t="s">
        <v>59</v>
      </c>
      <c r="L4" s="25" t="n">
        <v>50</v>
      </c>
      <c r="M4" s="25" t="n">
        <v>750</v>
      </c>
      <c r="N4" s="26" t="n">
        <f aca="false">IF(L4="","",L4*M4)</f>
        <v>37500</v>
      </c>
      <c r="O4" s="25" t="n">
        <v>553</v>
      </c>
      <c r="P4" s="26" t="n">
        <f aca="false">IF(L4="","",N4-L4*O4)</f>
        <v>9850</v>
      </c>
      <c r="Q4" s="27" t="n">
        <v>15</v>
      </c>
      <c r="R4" s="27" t="n">
        <v>12</v>
      </c>
      <c r="S4" s="22" t="s">
        <v>44</v>
      </c>
      <c r="T4" s="22" t="str">
        <f aca="false">IF(R4="","",IF(R4&lt;=Q4,"Yes","No"))</f>
        <v>Yes</v>
      </c>
      <c r="U4" s="22" t="str">
        <f aca="false">IF(B4="","",TEXT(YEAR(B4),"0"))</f>
        <v>2023</v>
      </c>
    </row>
    <row r="5" customFormat="false" ht="15" hidden="false" customHeight="false" outlineLevel="0" collapsed="false">
      <c r="A5" s="22" t="s">
        <v>60</v>
      </c>
      <c r="B5" s="23" t="n">
        <v>44932</v>
      </c>
      <c r="C5" s="24" t="n">
        <f aca="false">IF(B5="","",DATE(YEAR(B5),MONTH(B5),1))</f>
        <v>44927</v>
      </c>
      <c r="D5" s="22" t="s">
        <v>61</v>
      </c>
      <c r="E5" s="22" t="s">
        <v>37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K5" s="22" t="s">
        <v>67</v>
      </c>
      <c r="L5" s="25" t="n">
        <v>25</v>
      </c>
      <c r="M5" s="25" t="n">
        <v>680</v>
      </c>
      <c r="N5" s="26" t="n">
        <f aca="false">IF(L5="","",L5*M5)</f>
        <v>17000</v>
      </c>
      <c r="O5" s="25" t="n">
        <v>542</v>
      </c>
      <c r="P5" s="26" t="n">
        <f aca="false">IF(L5="","",N5-L5*O5)</f>
        <v>3450</v>
      </c>
      <c r="Q5" s="27" t="n">
        <v>21</v>
      </c>
      <c r="R5" s="27" t="n">
        <v>21</v>
      </c>
      <c r="S5" s="22" t="s">
        <v>44</v>
      </c>
      <c r="T5" s="22" t="str">
        <f aca="false">IF(R5="","",IF(R5&lt;=Q5,"Yes","No"))</f>
        <v>Yes</v>
      </c>
      <c r="U5" s="22" t="str">
        <f aca="false">IF(B5="","",TEXT(YEAR(B5),"0"))</f>
        <v>2023</v>
      </c>
    </row>
    <row r="6" customFormat="false" ht="15" hidden="false" customHeight="false" outlineLevel="0" collapsed="false">
      <c r="A6" s="22" t="s">
        <v>68</v>
      </c>
      <c r="B6" s="23" t="n">
        <v>44935</v>
      </c>
      <c r="C6" s="24" t="n">
        <f aca="false">IF(B6="","",DATE(YEAR(B6),MONTH(B6),1))</f>
        <v>44927</v>
      </c>
      <c r="D6" s="22" t="s">
        <v>69</v>
      </c>
      <c r="E6" s="22" t="s">
        <v>37</v>
      </c>
      <c r="F6" s="22" t="s">
        <v>62</v>
      </c>
      <c r="G6" s="22" t="s">
        <v>49</v>
      </c>
      <c r="H6" s="22" t="s">
        <v>50</v>
      </c>
      <c r="I6" s="22" t="s">
        <v>41</v>
      </c>
      <c r="J6" s="22" t="s">
        <v>51</v>
      </c>
      <c r="K6" s="22" t="s">
        <v>52</v>
      </c>
      <c r="L6" s="25" t="n">
        <v>100</v>
      </c>
      <c r="M6" s="25" t="n">
        <v>750</v>
      </c>
      <c r="N6" s="26" t="n">
        <f aca="false">IF(L6="","",L6*M6)</f>
        <v>75000</v>
      </c>
      <c r="O6" s="25" t="n">
        <v>575</v>
      </c>
      <c r="P6" s="26" t="n">
        <f aca="false">IF(L6="","",N6-L6*O6)</f>
        <v>17500</v>
      </c>
      <c r="Q6" s="27" t="n">
        <v>25</v>
      </c>
      <c r="R6" s="27" t="n">
        <v>22</v>
      </c>
      <c r="S6" s="22" t="s">
        <v>44</v>
      </c>
      <c r="T6" s="22" t="str">
        <f aca="false">IF(R6="","",IF(R6&lt;=Q6,"Yes","No"))</f>
        <v>Yes</v>
      </c>
      <c r="U6" s="22" t="str">
        <f aca="false">IF(B6="","",TEXT(YEAR(B6),"0"))</f>
        <v>2023</v>
      </c>
    </row>
    <row r="7" customFormat="false" ht="15" hidden="false" customHeight="false" outlineLevel="0" collapsed="false">
      <c r="A7" s="22" t="s">
        <v>70</v>
      </c>
      <c r="B7" s="23" t="n">
        <v>44936</v>
      </c>
      <c r="C7" s="24" t="n">
        <f aca="false">IF(B7="","",DATE(YEAR(B7),MONTH(B7),1))</f>
        <v>44927</v>
      </c>
      <c r="D7" s="22" t="s">
        <v>71</v>
      </c>
      <c r="E7" s="22" t="s">
        <v>37</v>
      </c>
      <c r="F7" s="22" t="s">
        <v>72</v>
      </c>
      <c r="G7" s="22" t="s">
        <v>73</v>
      </c>
      <c r="H7" s="22" t="s">
        <v>74</v>
      </c>
      <c r="I7" s="22" t="s">
        <v>75</v>
      </c>
      <c r="J7" s="22" t="s">
        <v>51</v>
      </c>
      <c r="K7" s="22" t="s">
        <v>76</v>
      </c>
      <c r="L7" s="25" t="n">
        <v>25</v>
      </c>
      <c r="M7" s="25" t="n">
        <v>770</v>
      </c>
      <c r="N7" s="26" t="n">
        <f aca="false">IF(L7="","",L7*M7)</f>
        <v>19250</v>
      </c>
      <c r="O7" s="25" t="n">
        <v>591</v>
      </c>
      <c r="P7" s="26" t="n">
        <f aca="false">IF(L7="","",N7-L7*O7)</f>
        <v>4475</v>
      </c>
      <c r="Q7" s="27" t="n">
        <v>30</v>
      </c>
      <c r="R7" s="27" t="n">
        <v>29</v>
      </c>
      <c r="S7" s="22" t="s">
        <v>44</v>
      </c>
      <c r="T7" s="22" t="str">
        <f aca="false">IF(R7="","",IF(R7&lt;=Q7,"Yes","No"))</f>
        <v>Yes</v>
      </c>
      <c r="U7" s="22" t="str">
        <f aca="false">IF(B7="","",TEXT(YEAR(B7),"0"))</f>
        <v>2023</v>
      </c>
    </row>
    <row r="8" customFormat="false" ht="15" hidden="false" customHeight="false" outlineLevel="0" collapsed="false">
      <c r="A8" s="22" t="s">
        <v>77</v>
      </c>
      <c r="B8" s="23" t="n">
        <v>44937</v>
      </c>
      <c r="C8" s="24" t="n">
        <f aca="false">IF(B8="","",DATE(YEAR(B8),MONTH(B8),1))</f>
        <v>44927</v>
      </c>
      <c r="D8" s="22" t="s">
        <v>71</v>
      </c>
      <c r="E8" s="22" t="s">
        <v>37</v>
      </c>
      <c r="F8" s="22" t="s">
        <v>72</v>
      </c>
      <c r="G8" s="22" t="s">
        <v>78</v>
      </c>
      <c r="H8" s="22" t="s">
        <v>79</v>
      </c>
      <c r="I8" s="22" t="s">
        <v>41</v>
      </c>
      <c r="J8" s="22" t="s">
        <v>80</v>
      </c>
      <c r="K8" s="22" t="s">
        <v>76</v>
      </c>
      <c r="L8" s="25" t="n">
        <v>100</v>
      </c>
      <c r="M8" s="25" t="n">
        <v>1210</v>
      </c>
      <c r="N8" s="26" t="n">
        <f aca="false">IF(L8="","",L8*M8)</f>
        <v>121000</v>
      </c>
      <c r="O8" s="25" t="n">
        <v>868</v>
      </c>
      <c r="P8" s="26" t="n">
        <f aca="false">IF(L8="","",N8-L8*O8)</f>
        <v>34200</v>
      </c>
      <c r="Q8" s="27" t="n">
        <v>30</v>
      </c>
      <c r="R8" s="27" t="n">
        <v>26</v>
      </c>
      <c r="S8" s="22" t="s">
        <v>44</v>
      </c>
      <c r="T8" s="22" t="str">
        <f aca="false">IF(R8="","",IF(R8&lt;=Q8,"Yes","No"))</f>
        <v>Yes</v>
      </c>
      <c r="U8" s="22" t="str">
        <f aca="false">IF(B8="","",TEXT(YEAR(B8),"0"))</f>
        <v>2023</v>
      </c>
    </row>
    <row r="9" customFormat="false" ht="15" hidden="false" customHeight="false" outlineLevel="0" collapsed="false">
      <c r="A9" s="22" t="s">
        <v>81</v>
      </c>
      <c r="B9" s="23" t="n">
        <v>44938</v>
      </c>
      <c r="C9" s="24" t="n">
        <f aca="false">IF(B9="","",DATE(YEAR(B9),MONTH(B9),1))</f>
        <v>44927</v>
      </c>
      <c r="D9" s="22" t="s">
        <v>54</v>
      </c>
      <c r="E9" s="22" t="s">
        <v>47</v>
      </c>
      <c r="F9" s="22" t="s">
        <v>55</v>
      </c>
      <c r="G9" s="22" t="s">
        <v>82</v>
      </c>
      <c r="H9" s="22" t="s">
        <v>83</v>
      </c>
      <c r="I9" s="22" t="s">
        <v>41</v>
      </c>
      <c r="J9" s="22" t="s">
        <v>66</v>
      </c>
      <c r="K9" s="22" t="s">
        <v>52</v>
      </c>
      <c r="L9" s="25" t="n">
        <v>300</v>
      </c>
      <c r="M9" s="25" t="n">
        <v>610</v>
      </c>
      <c r="N9" s="26" t="n">
        <f aca="false">IF(L9="","",L9*M9)</f>
        <v>183000</v>
      </c>
      <c r="O9" s="25" t="n">
        <v>483</v>
      </c>
      <c r="P9" s="26" t="n">
        <f aca="false">IF(L9="","",N9-L9*O9)</f>
        <v>38100</v>
      </c>
      <c r="Q9" s="27" t="n">
        <v>10</v>
      </c>
      <c r="R9" s="27" t="n">
        <v>12</v>
      </c>
      <c r="S9" s="22" t="s">
        <v>44</v>
      </c>
      <c r="T9" s="22" t="str">
        <f aca="false">IF(R9="","",IF(R9&lt;=Q9,"Yes","No"))</f>
        <v>No</v>
      </c>
      <c r="U9" s="22" t="str">
        <f aca="false">IF(B9="","",TEXT(YEAR(B9),"0"))</f>
        <v>2023</v>
      </c>
    </row>
    <row r="10" customFormat="false" ht="15" hidden="false" customHeight="false" outlineLevel="0" collapsed="false">
      <c r="A10" s="22" t="s">
        <v>84</v>
      </c>
      <c r="B10" s="23" t="n">
        <v>44939</v>
      </c>
      <c r="C10" s="24" t="n">
        <f aca="false">IF(B10="","",DATE(YEAR(B10),MONTH(B10),1))</f>
        <v>44927</v>
      </c>
      <c r="D10" s="22" t="s">
        <v>61</v>
      </c>
      <c r="E10" s="22" t="s">
        <v>37</v>
      </c>
      <c r="F10" s="22" t="s">
        <v>62</v>
      </c>
      <c r="G10" s="22" t="s">
        <v>85</v>
      </c>
      <c r="H10" s="22" t="s">
        <v>86</v>
      </c>
      <c r="I10" s="22" t="s">
        <v>87</v>
      </c>
      <c r="J10" s="22" t="s">
        <v>51</v>
      </c>
      <c r="K10" s="22" t="s">
        <v>67</v>
      </c>
      <c r="L10" s="25" t="n">
        <v>100</v>
      </c>
      <c r="M10" s="25" t="n">
        <v>810</v>
      </c>
      <c r="N10" s="26" t="n">
        <f aca="false">IF(L10="","",L10*M10)</f>
        <v>81000</v>
      </c>
      <c r="O10" s="25" t="n">
        <v>603</v>
      </c>
      <c r="P10" s="26" t="n">
        <f aca="false">IF(L10="","",N10-L10*O10)</f>
        <v>20700</v>
      </c>
      <c r="Q10" s="27" t="n">
        <v>30</v>
      </c>
      <c r="R10" s="27" t="n">
        <v>29</v>
      </c>
      <c r="S10" s="22" t="s">
        <v>44</v>
      </c>
      <c r="T10" s="22" t="str">
        <f aca="false">IF(R10="","",IF(R10&lt;=Q10,"Yes","No"))</f>
        <v>Yes</v>
      </c>
      <c r="U10" s="22" t="str">
        <f aca="false">IF(B10="","",TEXT(YEAR(B10),"0"))</f>
        <v>2023</v>
      </c>
    </row>
    <row r="11" customFormat="false" ht="15" hidden="false" customHeight="false" outlineLevel="0" collapsed="false">
      <c r="A11" s="22" t="s">
        <v>88</v>
      </c>
      <c r="B11" s="23" t="n">
        <v>44942</v>
      </c>
      <c r="C11" s="24" t="n">
        <f aca="false">IF(B11="","",DATE(YEAR(B11),MONTH(B11),1))</f>
        <v>44927</v>
      </c>
      <c r="D11" s="22" t="s">
        <v>61</v>
      </c>
      <c r="E11" s="22" t="s">
        <v>37</v>
      </c>
      <c r="F11" s="22" t="s">
        <v>62</v>
      </c>
      <c r="G11" s="22" t="s">
        <v>89</v>
      </c>
      <c r="H11" s="22" t="s">
        <v>90</v>
      </c>
      <c r="I11" s="22" t="s">
        <v>91</v>
      </c>
      <c r="J11" s="22" t="s">
        <v>66</v>
      </c>
      <c r="K11" s="22" t="s">
        <v>76</v>
      </c>
      <c r="L11" s="25" t="n">
        <v>100</v>
      </c>
      <c r="M11" s="25" t="n">
        <v>640</v>
      </c>
      <c r="N11" s="26" t="n">
        <f aca="false">IF(L11="","",L11*M11)</f>
        <v>64000</v>
      </c>
      <c r="O11" s="25" t="n">
        <v>509</v>
      </c>
      <c r="P11" s="26" t="n">
        <f aca="false">IF(L11="","",N11-L11*O11)</f>
        <v>13100</v>
      </c>
      <c r="Q11" s="27" t="n">
        <v>21</v>
      </c>
      <c r="R11" s="27" t="n">
        <v>17</v>
      </c>
      <c r="S11" s="22" t="s">
        <v>44</v>
      </c>
      <c r="T11" s="22" t="str">
        <f aca="false">IF(R11="","",IF(R11&lt;=Q11,"Yes","No"))</f>
        <v>Yes</v>
      </c>
      <c r="U11" s="22" t="str">
        <f aca="false">IF(B11="","",TEXT(YEAR(B11),"0"))</f>
        <v>2023</v>
      </c>
    </row>
    <row r="12" customFormat="false" ht="15" hidden="false" customHeight="false" outlineLevel="0" collapsed="false">
      <c r="A12" s="22" t="s">
        <v>92</v>
      </c>
      <c r="B12" s="23" t="n">
        <v>44960</v>
      </c>
      <c r="C12" s="24" t="n">
        <f aca="false">IF(B12="","",DATE(YEAR(B12),MONTH(B12),1))</f>
        <v>44958</v>
      </c>
      <c r="D12" s="22" t="s">
        <v>36</v>
      </c>
      <c r="E12" s="22" t="s">
        <v>37</v>
      </c>
      <c r="F12" s="22" t="s">
        <v>38</v>
      </c>
      <c r="G12" s="22" t="s">
        <v>93</v>
      </c>
      <c r="H12" s="22" t="s">
        <v>94</v>
      </c>
      <c r="I12" s="22" t="s">
        <v>41</v>
      </c>
      <c r="J12" s="22" t="s">
        <v>42</v>
      </c>
      <c r="K12" s="22" t="s">
        <v>52</v>
      </c>
      <c r="L12" s="25" t="n">
        <v>100</v>
      </c>
      <c r="M12" s="25" t="n">
        <v>830</v>
      </c>
      <c r="N12" s="26" t="n">
        <f aca="false">IF(L12="","",L12*M12)</f>
        <v>83000</v>
      </c>
      <c r="O12" s="25" t="n">
        <v>616</v>
      </c>
      <c r="P12" s="26" t="n">
        <f aca="false">IF(L12="","",N12-L12*O12)</f>
        <v>21400</v>
      </c>
      <c r="Q12" s="27" t="n">
        <v>30</v>
      </c>
      <c r="R12" s="27" t="n">
        <v>29</v>
      </c>
      <c r="S12" s="22" t="s">
        <v>44</v>
      </c>
      <c r="T12" s="22" t="str">
        <f aca="false">IF(R12="","",IF(R12&lt;=Q12,"Yes","No"))</f>
        <v>Yes</v>
      </c>
      <c r="U12" s="22" t="str">
        <f aca="false">IF(B12="","",TEXT(YEAR(B12),"0"))</f>
        <v>2023</v>
      </c>
    </row>
    <row r="13" customFormat="false" ht="15" hidden="false" customHeight="false" outlineLevel="0" collapsed="false">
      <c r="A13" s="22" t="s">
        <v>95</v>
      </c>
      <c r="B13" s="23" t="n">
        <v>44961</v>
      </c>
      <c r="C13" s="24" t="n">
        <f aca="false">IF(B13="","",DATE(YEAR(B13),MONTH(B13),1))</f>
        <v>44958</v>
      </c>
      <c r="D13" s="22" t="s">
        <v>96</v>
      </c>
      <c r="E13" s="22" t="s">
        <v>47</v>
      </c>
      <c r="F13" s="22" t="s">
        <v>97</v>
      </c>
      <c r="G13" s="22" t="s">
        <v>73</v>
      </c>
      <c r="H13" s="22" t="s">
        <v>74</v>
      </c>
      <c r="I13" s="22" t="s">
        <v>75</v>
      </c>
      <c r="J13" s="22" t="s">
        <v>51</v>
      </c>
      <c r="K13" s="22" t="s">
        <v>67</v>
      </c>
      <c r="L13" s="25" t="n">
        <v>50</v>
      </c>
      <c r="M13" s="25" t="n">
        <v>820</v>
      </c>
      <c r="N13" s="26" t="n">
        <f aca="false">IF(L13="","",L13*M13)</f>
        <v>41000</v>
      </c>
      <c r="O13" s="25" t="n">
        <v>590</v>
      </c>
      <c r="P13" s="26" t="n">
        <f aca="false">IF(L13="","",N13-L13*O13)</f>
        <v>11500</v>
      </c>
      <c r="Q13" s="27" t="n">
        <v>10</v>
      </c>
      <c r="R13" s="27" t="n">
        <v>7</v>
      </c>
      <c r="S13" s="22" t="s">
        <v>44</v>
      </c>
      <c r="T13" s="22" t="str">
        <f aca="false">IF(R13="","",IF(R13&lt;=Q13,"Yes","No"))</f>
        <v>Yes</v>
      </c>
      <c r="U13" s="22" t="str">
        <f aca="false">IF(B13="","",TEXT(YEAR(B13),"0"))</f>
        <v>2023</v>
      </c>
    </row>
    <row r="14" customFormat="false" ht="15" hidden="false" customHeight="false" outlineLevel="0" collapsed="false">
      <c r="A14" s="22" t="s">
        <v>98</v>
      </c>
      <c r="B14" s="23" t="n">
        <v>44964</v>
      </c>
      <c r="C14" s="24" t="n">
        <f aca="false">IF(B14="","",DATE(YEAR(B14),MONTH(B14),1))</f>
        <v>44958</v>
      </c>
      <c r="D14" s="22" t="s">
        <v>54</v>
      </c>
      <c r="E14" s="22" t="s">
        <v>47</v>
      </c>
      <c r="F14" s="22" t="s">
        <v>55</v>
      </c>
      <c r="G14" s="22" t="s">
        <v>99</v>
      </c>
      <c r="H14" s="22" t="s">
        <v>100</v>
      </c>
      <c r="I14" s="22" t="s">
        <v>101</v>
      </c>
      <c r="J14" s="22" t="s">
        <v>80</v>
      </c>
      <c r="K14" s="22" t="s">
        <v>52</v>
      </c>
      <c r="L14" s="25" t="n">
        <v>25</v>
      </c>
      <c r="M14" s="25" t="n">
        <v>1370</v>
      </c>
      <c r="N14" s="26" t="n">
        <f aca="false">IF(L14="","",L14*M14)</f>
        <v>34250</v>
      </c>
      <c r="O14" s="25" t="n">
        <v>876</v>
      </c>
      <c r="P14" s="26" t="n">
        <f aca="false">IF(L14="","",N14-L14*O14)</f>
        <v>12350</v>
      </c>
      <c r="Q14" s="27" t="n">
        <v>12</v>
      </c>
      <c r="R14" s="27" t="n">
        <v>11</v>
      </c>
      <c r="S14" s="22" t="s">
        <v>44</v>
      </c>
      <c r="T14" s="22" t="str">
        <f aca="false">IF(R14="","",IF(R14&lt;=Q14,"Yes","No"))</f>
        <v>Yes</v>
      </c>
      <c r="U14" s="22" t="str">
        <f aca="false">IF(B14="","",TEXT(YEAR(B14),"0"))</f>
        <v>2023</v>
      </c>
    </row>
    <row r="15" customFormat="false" ht="15" hidden="false" customHeight="false" outlineLevel="0" collapsed="false">
      <c r="A15" s="22" t="s">
        <v>102</v>
      </c>
      <c r="B15" s="23" t="n">
        <v>44964</v>
      </c>
      <c r="C15" s="24" t="n">
        <f aca="false">IF(B15="","",DATE(YEAR(B15),MONTH(B15),1))</f>
        <v>44958</v>
      </c>
      <c r="D15" s="22" t="s">
        <v>103</v>
      </c>
      <c r="E15" s="22" t="s">
        <v>47</v>
      </c>
      <c r="F15" s="22" t="s">
        <v>104</v>
      </c>
      <c r="G15" s="22" t="s">
        <v>99</v>
      </c>
      <c r="H15" s="22" t="s">
        <v>100</v>
      </c>
      <c r="I15" s="22" t="s">
        <v>101</v>
      </c>
      <c r="J15" s="22" t="s">
        <v>80</v>
      </c>
      <c r="K15" s="22" t="s">
        <v>105</v>
      </c>
      <c r="L15" s="25" t="n">
        <v>100</v>
      </c>
      <c r="M15" s="25" t="n">
        <v>1345</v>
      </c>
      <c r="N15" s="26" t="n">
        <f aca="false">IF(L15="","",L15*M15)</f>
        <v>134500</v>
      </c>
      <c r="O15" s="25" t="n">
        <v>884</v>
      </c>
      <c r="P15" s="26" t="n">
        <f aca="false">IF(L15="","",N15-L15*O15)</f>
        <v>46100</v>
      </c>
      <c r="Q15" s="27" t="n">
        <v>15</v>
      </c>
      <c r="R15" s="27" t="n">
        <v>13</v>
      </c>
      <c r="S15" s="22" t="s">
        <v>44</v>
      </c>
      <c r="T15" s="22" t="str">
        <f aca="false">IF(R15="","",IF(R15&lt;=Q15,"Yes","No"))</f>
        <v>Yes</v>
      </c>
      <c r="U15" s="22" t="str">
        <f aca="false">IF(B15="","",TEXT(YEAR(B15),"0"))</f>
        <v>2023</v>
      </c>
    </row>
    <row r="16" customFormat="false" ht="15" hidden="false" customHeight="false" outlineLevel="0" collapsed="false">
      <c r="A16" s="22" t="s">
        <v>106</v>
      </c>
      <c r="B16" s="23" t="n">
        <v>44965</v>
      </c>
      <c r="C16" s="24" t="n">
        <f aca="false">IF(B16="","",DATE(YEAR(B16),MONTH(B16),1))</f>
        <v>44958</v>
      </c>
      <c r="D16" s="22" t="s">
        <v>71</v>
      </c>
      <c r="E16" s="22" t="s">
        <v>37</v>
      </c>
      <c r="F16" s="22" t="s">
        <v>72</v>
      </c>
      <c r="G16" s="22" t="s">
        <v>63</v>
      </c>
      <c r="H16" s="22" t="s">
        <v>64</v>
      </c>
      <c r="I16" s="22" t="s">
        <v>65</v>
      </c>
      <c r="J16" s="22" t="s">
        <v>66</v>
      </c>
      <c r="K16" s="22" t="s">
        <v>76</v>
      </c>
      <c r="L16" s="25" t="n">
        <v>500</v>
      </c>
      <c r="M16" s="25" t="n">
        <v>680</v>
      </c>
      <c r="N16" s="26" t="n">
        <f aca="false">IF(L16="","",L16*M16)</f>
        <v>340000</v>
      </c>
      <c r="O16" s="25" t="n">
        <v>548</v>
      </c>
      <c r="P16" s="26" t="n">
        <f aca="false">IF(L16="","",N16-L16*O16)</f>
        <v>66000</v>
      </c>
      <c r="Q16" s="27" t="n">
        <v>30</v>
      </c>
      <c r="R16" s="27" t="n">
        <v>28</v>
      </c>
      <c r="S16" s="22" t="s">
        <v>44</v>
      </c>
      <c r="T16" s="22" t="str">
        <f aca="false">IF(R16="","",IF(R16&lt;=Q16,"Yes","No"))</f>
        <v>Yes</v>
      </c>
      <c r="U16" s="22" t="str">
        <f aca="false">IF(B16="","",TEXT(YEAR(B16),"0"))</f>
        <v>2023</v>
      </c>
    </row>
    <row r="17" customFormat="false" ht="15" hidden="false" customHeight="false" outlineLevel="0" collapsed="false">
      <c r="A17" s="22" t="s">
        <v>107</v>
      </c>
      <c r="B17" s="23" t="n">
        <v>44970</v>
      </c>
      <c r="C17" s="24" t="n">
        <f aca="false">IF(B17="","",DATE(YEAR(B17),MONTH(B17),1))</f>
        <v>44958</v>
      </c>
      <c r="D17" s="22" t="s">
        <v>108</v>
      </c>
      <c r="E17" s="22" t="s">
        <v>37</v>
      </c>
      <c r="F17" s="22" t="s">
        <v>109</v>
      </c>
      <c r="G17" s="22" t="s">
        <v>110</v>
      </c>
      <c r="H17" s="22" t="s">
        <v>111</v>
      </c>
      <c r="I17" s="22" t="s">
        <v>112</v>
      </c>
      <c r="J17" s="22" t="s">
        <v>113</v>
      </c>
      <c r="K17" s="22" t="s">
        <v>67</v>
      </c>
      <c r="L17" s="25" t="n">
        <v>100</v>
      </c>
      <c r="M17" s="25" t="n">
        <v>885</v>
      </c>
      <c r="N17" s="26" t="n">
        <f aca="false">IF(L17="","",L17*M17)</f>
        <v>88500</v>
      </c>
      <c r="O17" s="25" t="n">
        <v>636</v>
      </c>
      <c r="P17" s="26" t="n">
        <f aca="false">IF(L17="","",N17-L17*O17)</f>
        <v>24900</v>
      </c>
      <c r="Q17" s="27" t="n">
        <v>30</v>
      </c>
      <c r="R17" s="27" t="n">
        <v>32</v>
      </c>
      <c r="S17" s="22" t="s">
        <v>44</v>
      </c>
      <c r="T17" s="22" t="str">
        <f aca="false">IF(R17="","",IF(R17&lt;=Q17,"Yes","No"))</f>
        <v>No</v>
      </c>
      <c r="U17" s="22" t="str">
        <f aca="false">IF(B17="","",TEXT(YEAR(B17),"0"))</f>
        <v>2023</v>
      </c>
    </row>
    <row r="18" customFormat="false" ht="15" hidden="false" customHeight="false" outlineLevel="0" collapsed="false">
      <c r="A18" s="22" t="s">
        <v>114</v>
      </c>
      <c r="B18" s="23" t="n">
        <v>44970</v>
      </c>
      <c r="C18" s="24" t="n">
        <f aca="false">IF(B18="","",DATE(YEAR(B18),MONTH(B18),1))</f>
        <v>44958</v>
      </c>
      <c r="D18" s="22" t="s">
        <v>36</v>
      </c>
      <c r="E18" s="22" t="s">
        <v>37</v>
      </c>
      <c r="F18" s="22" t="s">
        <v>38</v>
      </c>
      <c r="G18" s="22" t="s">
        <v>73</v>
      </c>
      <c r="H18" s="22" t="s">
        <v>74</v>
      </c>
      <c r="I18" s="22" t="s">
        <v>75</v>
      </c>
      <c r="J18" s="22" t="s">
        <v>51</v>
      </c>
      <c r="K18" s="22" t="s">
        <v>43</v>
      </c>
      <c r="L18" s="25" t="n">
        <v>300</v>
      </c>
      <c r="M18" s="25" t="n">
        <v>760</v>
      </c>
      <c r="N18" s="26" t="n">
        <f aca="false">IF(L18="","",L18*M18)</f>
        <v>228000</v>
      </c>
      <c r="O18" s="25" t="n">
        <v>601</v>
      </c>
      <c r="P18" s="26" t="n">
        <f aca="false">IF(L18="","",N18-L18*O18)</f>
        <v>47700</v>
      </c>
      <c r="Q18" s="27" t="n">
        <v>25</v>
      </c>
      <c r="R18" s="27" t="n">
        <v>24</v>
      </c>
      <c r="S18" s="22" t="s">
        <v>44</v>
      </c>
      <c r="T18" s="22" t="str">
        <f aca="false">IF(R18="","",IF(R18&lt;=Q18,"Yes","No"))</f>
        <v>Yes</v>
      </c>
      <c r="U18" s="22" t="str">
        <f aca="false">IF(B18="","",TEXT(YEAR(B18),"0"))</f>
        <v>2023</v>
      </c>
    </row>
    <row r="19" customFormat="false" ht="15" hidden="false" customHeight="false" outlineLevel="0" collapsed="false">
      <c r="A19" s="22" t="s">
        <v>115</v>
      </c>
      <c r="B19" s="23" t="n">
        <v>44971</v>
      </c>
      <c r="C19" s="24" t="n">
        <f aca="false">IF(B19="","",DATE(YEAR(B19),MONTH(B19),1))</f>
        <v>44958</v>
      </c>
      <c r="D19" s="22" t="s">
        <v>103</v>
      </c>
      <c r="E19" s="22" t="s">
        <v>47</v>
      </c>
      <c r="F19" s="22" t="s">
        <v>104</v>
      </c>
      <c r="G19" s="22" t="s">
        <v>116</v>
      </c>
      <c r="H19" s="22" t="s">
        <v>117</v>
      </c>
      <c r="I19" s="22" t="s">
        <v>41</v>
      </c>
      <c r="J19" s="22" t="s">
        <v>80</v>
      </c>
      <c r="K19" s="22" t="s">
        <v>43</v>
      </c>
      <c r="L19" s="25" t="n">
        <v>50</v>
      </c>
      <c r="M19" s="25" t="n">
        <v>1275</v>
      </c>
      <c r="N19" s="26" t="n">
        <f aca="false">IF(L19="","",L19*M19)</f>
        <v>63750</v>
      </c>
      <c r="O19" s="25" t="n">
        <v>861</v>
      </c>
      <c r="P19" s="26" t="n">
        <f aca="false">IF(L19="","",N19-L19*O19)</f>
        <v>20700</v>
      </c>
      <c r="Q19" s="27" t="n">
        <v>10</v>
      </c>
      <c r="R19" s="27" t="n">
        <v>9</v>
      </c>
      <c r="S19" s="22" t="s">
        <v>44</v>
      </c>
      <c r="T19" s="22" t="str">
        <f aca="false">IF(R19="","",IF(R19&lt;=Q19,"Yes","No"))</f>
        <v>Yes</v>
      </c>
      <c r="U19" s="22" t="str">
        <f aca="false">IF(B19="","",TEXT(YEAR(B19),"0"))</f>
        <v>2023</v>
      </c>
    </row>
    <row r="20" customFormat="false" ht="15" hidden="false" customHeight="false" outlineLevel="0" collapsed="false">
      <c r="A20" s="22" t="s">
        <v>118</v>
      </c>
      <c r="B20" s="23" t="n">
        <v>44972</v>
      </c>
      <c r="C20" s="24" t="n">
        <f aca="false">IF(B20="","",DATE(YEAR(B20),MONTH(B20),1))</f>
        <v>44958</v>
      </c>
      <c r="D20" s="22" t="s">
        <v>69</v>
      </c>
      <c r="E20" s="22" t="s">
        <v>37</v>
      </c>
      <c r="F20" s="22" t="s">
        <v>62</v>
      </c>
      <c r="G20" s="22" t="s">
        <v>119</v>
      </c>
      <c r="H20" s="22" t="s">
        <v>120</v>
      </c>
      <c r="I20" s="22" t="s">
        <v>121</v>
      </c>
      <c r="J20" s="22" t="s">
        <v>122</v>
      </c>
      <c r="K20" s="22" t="s">
        <v>52</v>
      </c>
      <c r="L20" s="25" t="n">
        <v>50</v>
      </c>
      <c r="M20" s="25" t="n">
        <v>1125</v>
      </c>
      <c r="N20" s="26" t="n">
        <f aca="false">IF(L20="","",L20*M20)</f>
        <v>56250</v>
      </c>
      <c r="O20" s="25" t="n">
        <v>809</v>
      </c>
      <c r="P20" s="26" t="n">
        <f aca="false">IF(L20="","",N20-L20*O20)</f>
        <v>15800</v>
      </c>
      <c r="Q20" s="27" t="n">
        <v>25</v>
      </c>
      <c r="R20" s="27" t="n">
        <v>27</v>
      </c>
      <c r="S20" s="22" t="s">
        <v>44</v>
      </c>
      <c r="T20" s="22" t="str">
        <f aca="false">IF(R20="","",IF(R20&lt;=Q20,"Yes","No"))</f>
        <v>No</v>
      </c>
      <c r="U20" s="22" t="str">
        <f aca="false">IF(B20="","",TEXT(YEAR(B20),"0"))</f>
        <v>2023</v>
      </c>
    </row>
    <row r="21" customFormat="false" ht="15" hidden="false" customHeight="false" outlineLevel="0" collapsed="false">
      <c r="A21" s="22" t="s">
        <v>123</v>
      </c>
      <c r="B21" s="23" t="n">
        <v>44977</v>
      </c>
      <c r="C21" s="24" t="n">
        <f aca="false">IF(B21="","",DATE(YEAR(B21),MONTH(B21),1))</f>
        <v>44958</v>
      </c>
      <c r="D21" s="22" t="s">
        <v>69</v>
      </c>
      <c r="E21" s="22" t="s">
        <v>37</v>
      </c>
      <c r="F21" s="22" t="s">
        <v>62</v>
      </c>
      <c r="G21" s="22" t="s">
        <v>73</v>
      </c>
      <c r="H21" s="22" t="s">
        <v>74</v>
      </c>
      <c r="I21" s="22" t="s">
        <v>75</v>
      </c>
      <c r="J21" s="22" t="s">
        <v>51</v>
      </c>
      <c r="K21" s="22" t="s">
        <v>43</v>
      </c>
      <c r="L21" s="25" t="n">
        <v>200</v>
      </c>
      <c r="M21" s="25" t="n">
        <v>790</v>
      </c>
      <c r="N21" s="26" t="n">
        <f aca="false">IF(L21="","",L21*M21)</f>
        <v>158000</v>
      </c>
      <c r="O21" s="25" t="n">
        <v>583</v>
      </c>
      <c r="P21" s="26" t="n">
        <f aca="false">IF(L21="","",N21-L21*O21)</f>
        <v>41400</v>
      </c>
      <c r="Q21" s="27" t="n">
        <v>30</v>
      </c>
      <c r="R21" s="27" t="n">
        <v>30</v>
      </c>
      <c r="S21" s="22" t="s">
        <v>44</v>
      </c>
      <c r="T21" s="22" t="str">
        <f aca="false">IF(R21="","",IF(R21&lt;=Q21,"Yes","No"))</f>
        <v>Yes</v>
      </c>
      <c r="U21" s="22" t="str">
        <f aca="false">IF(B21="","",TEXT(YEAR(B21),"0"))</f>
        <v>2023</v>
      </c>
    </row>
    <row r="22" customFormat="false" ht="15" hidden="false" customHeight="false" outlineLevel="0" collapsed="false">
      <c r="A22" s="22" t="s">
        <v>124</v>
      </c>
      <c r="B22" s="23" t="n">
        <v>44979</v>
      </c>
      <c r="C22" s="24" t="n">
        <f aca="false">IF(B22="","",DATE(YEAR(B22),MONTH(B22),1))</f>
        <v>44958</v>
      </c>
      <c r="D22" s="22" t="s">
        <v>61</v>
      </c>
      <c r="E22" s="22" t="s">
        <v>37</v>
      </c>
      <c r="F22" s="22" t="s">
        <v>62</v>
      </c>
      <c r="G22" s="22" t="s">
        <v>49</v>
      </c>
      <c r="H22" s="22" t="s">
        <v>50</v>
      </c>
      <c r="I22" s="22" t="s">
        <v>41</v>
      </c>
      <c r="J22" s="22" t="s">
        <v>51</v>
      </c>
      <c r="K22" s="22" t="s">
        <v>52</v>
      </c>
      <c r="L22" s="25" t="n">
        <v>200</v>
      </c>
      <c r="M22" s="25" t="n">
        <v>760</v>
      </c>
      <c r="N22" s="26" t="n">
        <f aca="false">IF(L22="","",L22*M22)</f>
        <v>152000</v>
      </c>
      <c r="O22" s="25" t="n">
        <v>578</v>
      </c>
      <c r="P22" s="26" t="n">
        <f aca="false">IF(L22="","",N22-L22*O22)</f>
        <v>36400</v>
      </c>
      <c r="Q22" s="27" t="n">
        <v>21</v>
      </c>
      <c r="R22" s="27" t="n">
        <v>16</v>
      </c>
      <c r="S22" s="22" t="s">
        <v>44</v>
      </c>
      <c r="T22" s="22" t="str">
        <f aca="false">IF(R22="","",IF(R22&lt;=Q22,"Yes","No"))</f>
        <v>Yes</v>
      </c>
      <c r="U22" s="22" t="str">
        <f aca="false">IF(B22="","",TEXT(YEAR(B22),"0"))</f>
        <v>2023</v>
      </c>
    </row>
    <row r="23" customFormat="false" ht="15" hidden="false" customHeight="false" outlineLevel="0" collapsed="false">
      <c r="A23" s="22" t="s">
        <v>125</v>
      </c>
      <c r="B23" s="23" t="n">
        <v>44982</v>
      </c>
      <c r="C23" s="24" t="n">
        <f aca="false">IF(B23="","",DATE(YEAR(B23),MONTH(B23),1))</f>
        <v>44958</v>
      </c>
      <c r="D23" s="22" t="s">
        <v>54</v>
      </c>
      <c r="E23" s="22" t="s">
        <v>47</v>
      </c>
      <c r="F23" s="22" t="s">
        <v>55</v>
      </c>
      <c r="G23" s="22" t="s">
        <v>126</v>
      </c>
      <c r="H23" s="22" t="s">
        <v>127</v>
      </c>
      <c r="I23" s="22" t="s">
        <v>41</v>
      </c>
      <c r="J23" s="22" t="s">
        <v>42</v>
      </c>
      <c r="K23" s="22" t="s">
        <v>59</v>
      </c>
      <c r="L23" s="25" t="n">
        <v>25</v>
      </c>
      <c r="M23" s="25" t="n">
        <v>880</v>
      </c>
      <c r="N23" s="26" t="n">
        <f aca="false">IF(L23="","",L23*M23)</f>
        <v>22000</v>
      </c>
      <c r="O23" s="25" t="n">
        <v>652</v>
      </c>
      <c r="P23" s="26" t="n">
        <f aca="false">IF(L23="","",N23-L23*O23)</f>
        <v>5700</v>
      </c>
      <c r="Q23" s="27" t="n">
        <v>12</v>
      </c>
      <c r="R23" s="27" t="n">
        <v>11</v>
      </c>
      <c r="S23" s="22" t="s">
        <v>44</v>
      </c>
      <c r="T23" s="22" t="str">
        <f aca="false">IF(R23="","",IF(R23&lt;=Q23,"Yes","No"))</f>
        <v>Yes</v>
      </c>
      <c r="U23" s="22" t="str">
        <f aca="false">IF(B23="","",TEXT(YEAR(B23),"0"))</f>
        <v>2023</v>
      </c>
    </row>
    <row r="24" customFormat="false" ht="15" hidden="false" customHeight="false" outlineLevel="0" collapsed="false">
      <c r="A24" s="22" t="s">
        <v>128</v>
      </c>
      <c r="B24" s="23" t="n">
        <v>44985</v>
      </c>
      <c r="C24" s="24" t="n">
        <f aca="false">IF(B24="","",DATE(YEAR(B24),MONTH(B24),1))</f>
        <v>44958</v>
      </c>
      <c r="D24" s="22" t="s">
        <v>69</v>
      </c>
      <c r="E24" s="22" t="s">
        <v>37</v>
      </c>
      <c r="F24" s="22" t="s">
        <v>62</v>
      </c>
      <c r="G24" s="22" t="s">
        <v>39</v>
      </c>
      <c r="H24" s="22" t="s">
        <v>40</v>
      </c>
      <c r="I24" s="22" t="s">
        <v>41</v>
      </c>
      <c r="J24" s="22" t="s">
        <v>42</v>
      </c>
      <c r="K24" s="22" t="s">
        <v>43</v>
      </c>
      <c r="L24" s="25" t="n">
        <v>50</v>
      </c>
      <c r="M24" s="25" t="n">
        <v>815</v>
      </c>
      <c r="N24" s="26" t="n">
        <f aca="false">IF(L24="","",L24*M24)</f>
        <v>40750</v>
      </c>
      <c r="O24" s="25" t="n">
        <v>609</v>
      </c>
      <c r="P24" s="26" t="n">
        <f aca="false">IF(L24="","",N24-L24*O24)</f>
        <v>10300</v>
      </c>
      <c r="Q24" s="27" t="n">
        <v>30</v>
      </c>
      <c r="R24" s="27" t="n">
        <v>29</v>
      </c>
      <c r="S24" s="22" t="s">
        <v>44</v>
      </c>
      <c r="T24" s="22" t="str">
        <f aca="false">IF(R24="","",IF(R24&lt;=Q24,"Yes","No"))</f>
        <v>Yes</v>
      </c>
      <c r="U24" s="22" t="str">
        <f aca="false">IF(B24="","",TEXT(YEAR(B24),"0"))</f>
        <v>2023</v>
      </c>
    </row>
    <row r="25" customFormat="false" ht="15" hidden="false" customHeight="false" outlineLevel="0" collapsed="false">
      <c r="A25" s="22" t="s">
        <v>129</v>
      </c>
      <c r="B25" s="23" t="n">
        <v>44986</v>
      </c>
      <c r="C25" s="24" t="n">
        <f aca="false">IF(B25="","",DATE(YEAR(B25),MONTH(B25),1))</f>
        <v>44986</v>
      </c>
      <c r="D25" s="22" t="s">
        <v>54</v>
      </c>
      <c r="E25" s="22" t="s">
        <v>47</v>
      </c>
      <c r="F25" s="22" t="s">
        <v>55</v>
      </c>
      <c r="G25" s="22" t="s">
        <v>93</v>
      </c>
      <c r="H25" s="22" t="s">
        <v>94</v>
      </c>
      <c r="I25" s="22" t="s">
        <v>41</v>
      </c>
      <c r="J25" s="22" t="s">
        <v>42</v>
      </c>
      <c r="K25" s="22" t="s">
        <v>130</v>
      </c>
      <c r="L25" s="25" t="n">
        <v>25</v>
      </c>
      <c r="M25" s="25" t="n">
        <v>855</v>
      </c>
      <c r="N25" s="26" t="n">
        <f aca="false">IF(L25="","",L25*M25)</f>
        <v>21375</v>
      </c>
      <c r="O25" s="25" t="n">
        <v>620</v>
      </c>
      <c r="P25" s="26" t="n">
        <f aca="false">IF(L25="","",N25-L25*O25)</f>
        <v>5875</v>
      </c>
      <c r="Q25" s="27" t="n">
        <v>15</v>
      </c>
      <c r="R25" s="27" t="n">
        <v>14</v>
      </c>
      <c r="S25" s="22" t="s">
        <v>44</v>
      </c>
      <c r="T25" s="22" t="str">
        <f aca="false">IF(R25="","",IF(R25&lt;=Q25,"Yes","No"))</f>
        <v>Yes</v>
      </c>
      <c r="U25" s="22" t="str">
        <f aca="false">IF(B25="","",TEXT(YEAR(B25),"0"))</f>
        <v>2023</v>
      </c>
    </row>
    <row r="26" customFormat="false" ht="15" hidden="false" customHeight="false" outlineLevel="0" collapsed="false">
      <c r="A26" s="22" t="s">
        <v>131</v>
      </c>
      <c r="B26" s="23" t="n">
        <v>44993</v>
      </c>
      <c r="C26" s="24" t="n">
        <f aca="false">IF(B26="","",DATE(YEAR(B26),MONTH(B26),1))</f>
        <v>44986</v>
      </c>
      <c r="D26" s="22" t="s">
        <v>108</v>
      </c>
      <c r="E26" s="22" t="s">
        <v>37</v>
      </c>
      <c r="F26" s="22" t="s">
        <v>109</v>
      </c>
      <c r="G26" s="22" t="s">
        <v>85</v>
      </c>
      <c r="H26" s="22" t="s">
        <v>86</v>
      </c>
      <c r="I26" s="22" t="s">
        <v>87</v>
      </c>
      <c r="J26" s="22" t="s">
        <v>51</v>
      </c>
      <c r="K26" s="22" t="s">
        <v>67</v>
      </c>
      <c r="L26" s="25" t="n">
        <v>300</v>
      </c>
      <c r="M26" s="25" t="n">
        <v>800</v>
      </c>
      <c r="N26" s="26" t="n">
        <f aca="false">IF(L26="","",L26*M26)</f>
        <v>240000</v>
      </c>
      <c r="O26" s="25" t="n">
        <v>604</v>
      </c>
      <c r="P26" s="26" t="n">
        <f aca="false">IF(L26="","",N26-L26*O26)</f>
        <v>58800</v>
      </c>
      <c r="Q26" s="27" t="n">
        <v>30</v>
      </c>
      <c r="R26" s="27" t="n">
        <v>33</v>
      </c>
      <c r="S26" s="22" t="s">
        <v>44</v>
      </c>
      <c r="T26" s="22" t="str">
        <f aca="false">IF(R26="","",IF(R26&lt;=Q26,"Yes","No"))</f>
        <v>No</v>
      </c>
      <c r="U26" s="22" t="str">
        <f aca="false">IF(B26="","",TEXT(YEAR(B26),"0"))</f>
        <v>2023</v>
      </c>
    </row>
    <row r="27" customFormat="false" ht="15" hidden="false" customHeight="false" outlineLevel="0" collapsed="false">
      <c r="A27" s="22" t="s">
        <v>132</v>
      </c>
      <c r="B27" s="23" t="n">
        <v>44996</v>
      </c>
      <c r="C27" s="24" t="n">
        <f aca="false">IF(B27="","",DATE(YEAR(B27),MONTH(B27),1))</f>
        <v>44986</v>
      </c>
      <c r="D27" s="22" t="s">
        <v>133</v>
      </c>
      <c r="E27" s="22" t="s">
        <v>47</v>
      </c>
      <c r="F27" s="22" t="s">
        <v>104</v>
      </c>
      <c r="G27" s="22" t="s">
        <v>134</v>
      </c>
      <c r="H27" s="22" t="s">
        <v>135</v>
      </c>
      <c r="I27" s="22" t="s">
        <v>136</v>
      </c>
      <c r="J27" s="22" t="s">
        <v>66</v>
      </c>
      <c r="K27" s="22" t="s">
        <v>130</v>
      </c>
      <c r="L27" s="25" t="n">
        <v>50</v>
      </c>
      <c r="M27" s="25" t="n">
        <v>690</v>
      </c>
      <c r="N27" s="26" t="n">
        <f aca="false">IF(L27="","",L27*M27)</f>
        <v>34500</v>
      </c>
      <c r="O27" s="25" t="n">
        <v>531</v>
      </c>
      <c r="P27" s="26" t="n">
        <f aca="false">IF(L27="","",N27-L27*O27)</f>
        <v>7950</v>
      </c>
      <c r="Q27" s="27" t="n">
        <v>12</v>
      </c>
      <c r="R27" s="27" t="n">
        <v>13</v>
      </c>
      <c r="S27" s="22" t="s">
        <v>44</v>
      </c>
      <c r="T27" s="22" t="str">
        <f aca="false">IF(R27="","",IF(R27&lt;=Q27,"Yes","No"))</f>
        <v>No</v>
      </c>
      <c r="U27" s="22" t="str">
        <f aca="false">IF(B27="","",TEXT(YEAR(B27),"0"))</f>
        <v>2023</v>
      </c>
    </row>
    <row r="28" customFormat="false" ht="15" hidden="false" customHeight="false" outlineLevel="0" collapsed="false">
      <c r="A28" s="22" t="s">
        <v>137</v>
      </c>
      <c r="B28" s="23" t="n">
        <v>45000</v>
      </c>
      <c r="C28" s="24" t="n">
        <f aca="false">IF(B28="","",DATE(YEAR(B28),MONTH(B28),1))</f>
        <v>44986</v>
      </c>
      <c r="D28" s="22" t="s">
        <v>103</v>
      </c>
      <c r="E28" s="22" t="s">
        <v>47</v>
      </c>
      <c r="F28" s="22" t="s">
        <v>104</v>
      </c>
      <c r="G28" s="22" t="s">
        <v>82</v>
      </c>
      <c r="H28" s="22" t="s">
        <v>83</v>
      </c>
      <c r="I28" s="22" t="s">
        <v>41</v>
      </c>
      <c r="J28" s="22" t="s">
        <v>66</v>
      </c>
      <c r="K28" s="22" t="s">
        <v>52</v>
      </c>
      <c r="L28" s="25" t="n">
        <v>100</v>
      </c>
      <c r="M28" s="25" t="n">
        <v>635</v>
      </c>
      <c r="N28" s="26" t="n">
        <f aca="false">IF(L28="","",L28*M28)</f>
        <v>63500</v>
      </c>
      <c r="O28" s="25" t="n">
        <v>490</v>
      </c>
      <c r="P28" s="26" t="n">
        <f aca="false">IF(L28="","",N28-L28*O28)</f>
        <v>14500</v>
      </c>
      <c r="Q28" s="27" t="n">
        <v>12</v>
      </c>
      <c r="R28" s="27" t="n">
        <v>12</v>
      </c>
      <c r="S28" s="22" t="s">
        <v>44</v>
      </c>
      <c r="T28" s="22" t="str">
        <f aca="false">IF(R28="","",IF(R28&lt;=Q28,"Yes","No"))</f>
        <v>Yes</v>
      </c>
      <c r="U28" s="22" t="str">
        <f aca="false">IF(B28="","",TEXT(YEAR(B28),"0"))</f>
        <v>2023</v>
      </c>
    </row>
    <row r="29" customFormat="false" ht="15" hidden="false" customHeight="false" outlineLevel="0" collapsed="false">
      <c r="A29" s="22" t="s">
        <v>138</v>
      </c>
      <c r="B29" s="23" t="n">
        <v>45002</v>
      </c>
      <c r="C29" s="24" t="n">
        <f aca="false">IF(B29="","",DATE(YEAR(B29),MONTH(B29),1))</f>
        <v>44986</v>
      </c>
      <c r="D29" s="22" t="s">
        <v>46</v>
      </c>
      <c r="E29" s="22" t="s">
        <v>47</v>
      </c>
      <c r="F29" s="22" t="s">
        <v>48</v>
      </c>
      <c r="G29" s="22" t="s">
        <v>139</v>
      </c>
      <c r="H29" s="22" t="s">
        <v>140</v>
      </c>
      <c r="I29" s="22" t="s">
        <v>141</v>
      </c>
      <c r="J29" s="22" t="s">
        <v>51</v>
      </c>
      <c r="K29" s="22" t="s">
        <v>67</v>
      </c>
      <c r="L29" s="25" t="n">
        <v>25</v>
      </c>
      <c r="M29" s="25" t="n">
        <v>880</v>
      </c>
      <c r="N29" s="26" t="n">
        <f aca="false">IF(L29="","",L29*M29)</f>
        <v>22000</v>
      </c>
      <c r="O29" s="25" t="n">
        <v>624</v>
      </c>
      <c r="P29" s="26" t="n">
        <f aca="false">IF(L29="","",N29-L29*O29)</f>
        <v>6400</v>
      </c>
      <c r="Q29" s="27" t="n">
        <v>12</v>
      </c>
      <c r="R29" s="27" t="n">
        <v>14</v>
      </c>
      <c r="S29" s="22" t="s">
        <v>44</v>
      </c>
      <c r="T29" s="22" t="str">
        <f aca="false">IF(R29="","",IF(R29&lt;=Q29,"Yes","No"))</f>
        <v>No</v>
      </c>
      <c r="U29" s="22" t="str">
        <f aca="false">IF(B29="","",TEXT(YEAR(B29),"0"))</f>
        <v>2023</v>
      </c>
    </row>
    <row r="30" customFormat="false" ht="15" hidden="false" customHeight="false" outlineLevel="0" collapsed="false">
      <c r="A30" s="22" t="s">
        <v>142</v>
      </c>
      <c r="B30" s="23" t="n">
        <v>45003</v>
      </c>
      <c r="C30" s="24" t="n">
        <f aca="false">IF(B30="","",DATE(YEAR(B30),MONTH(B30),1))</f>
        <v>44986</v>
      </c>
      <c r="D30" s="22" t="s">
        <v>69</v>
      </c>
      <c r="E30" s="22" t="s">
        <v>37</v>
      </c>
      <c r="F30" s="22" t="s">
        <v>62</v>
      </c>
      <c r="G30" s="22" t="s">
        <v>73</v>
      </c>
      <c r="H30" s="22" t="s">
        <v>74</v>
      </c>
      <c r="I30" s="22" t="s">
        <v>75</v>
      </c>
      <c r="J30" s="22" t="s">
        <v>51</v>
      </c>
      <c r="K30" s="22" t="s">
        <v>52</v>
      </c>
      <c r="L30" s="25" t="n">
        <v>50</v>
      </c>
      <c r="M30" s="25" t="n">
        <v>810</v>
      </c>
      <c r="N30" s="26" t="n">
        <f aca="false">IF(L30="","",L30*M30)</f>
        <v>40500</v>
      </c>
      <c r="O30" s="25" t="n">
        <v>599</v>
      </c>
      <c r="P30" s="26" t="n">
        <f aca="false">IF(L30="","",N30-L30*O30)</f>
        <v>10550</v>
      </c>
      <c r="Q30" s="27" t="n">
        <v>25</v>
      </c>
      <c r="R30" s="27" t="n">
        <v>23</v>
      </c>
      <c r="S30" s="22" t="s">
        <v>44</v>
      </c>
      <c r="T30" s="22" t="str">
        <f aca="false">IF(R30="","",IF(R30&lt;=Q30,"Yes","No"))</f>
        <v>Yes</v>
      </c>
      <c r="U30" s="22" t="str">
        <f aca="false">IF(B30="","",TEXT(YEAR(B30),"0"))</f>
        <v>2023</v>
      </c>
    </row>
    <row r="31" customFormat="false" ht="15" hidden="false" customHeight="false" outlineLevel="0" collapsed="false">
      <c r="A31" s="22" t="s">
        <v>143</v>
      </c>
      <c r="B31" s="23" t="n">
        <v>45007</v>
      </c>
      <c r="C31" s="24" t="n">
        <f aca="false">IF(B31="","",DATE(YEAR(B31),MONTH(B31),1))</f>
        <v>44986</v>
      </c>
      <c r="D31" s="22" t="s">
        <v>71</v>
      </c>
      <c r="E31" s="22" t="s">
        <v>37</v>
      </c>
      <c r="F31" s="22" t="s">
        <v>72</v>
      </c>
      <c r="G31" s="22" t="s">
        <v>73</v>
      </c>
      <c r="H31" s="22" t="s">
        <v>74</v>
      </c>
      <c r="I31" s="22" t="s">
        <v>75</v>
      </c>
      <c r="J31" s="22" t="s">
        <v>51</v>
      </c>
      <c r="K31" s="22" t="s">
        <v>76</v>
      </c>
      <c r="L31" s="25" t="n">
        <v>300</v>
      </c>
      <c r="M31" s="25" t="n">
        <v>785</v>
      </c>
      <c r="N31" s="26" t="n">
        <f aca="false">IF(L31="","",L31*M31)</f>
        <v>235500</v>
      </c>
      <c r="O31" s="25" t="n">
        <v>588</v>
      </c>
      <c r="P31" s="26" t="n">
        <f aca="false">IF(L31="","",N31-L31*O31)</f>
        <v>59100</v>
      </c>
      <c r="Q31" s="27" t="n">
        <v>25</v>
      </c>
      <c r="R31" s="27" t="n">
        <v>18</v>
      </c>
      <c r="S31" s="22" t="s">
        <v>44</v>
      </c>
      <c r="T31" s="22" t="str">
        <f aca="false">IF(R31="","",IF(R31&lt;=Q31,"Yes","No"))</f>
        <v>Yes</v>
      </c>
      <c r="U31" s="22" t="str">
        <f aca="false">IF(B31="","",TEXT(YEAR(B31),"0"))</f>
        <v>2023</v>
      </c>
    </row>
    <row r="32" customFormat="false" ht="15" hidden="false" customHeight="false" outlineLevel="0" collapsed="false">
      <c r="A32" s="22" t="s">
        <v>144</v>
      </c>
      <c r="B32" s="23" t="n">
        <v>45010</v>
      </c>
      <c r="C32" s="24" t="n">
        <f aca="false">IF(B32="","",DATE(YEAR(B32),MONTH(B32),1))</f>
        <v>44986</v>
      </c>
      <c r="D32" s="22" t="s">
        <v>133</v>
      </c>
      <c r="E32" s="22" t="s">
        <v>47</v>
      </c>
      <c r="F32" s="22" t="s">
        <v>104</v>
      </c>
      <c r="G32" s="22" t="s">
        <v>139</v>
      </c>
      <c r="H32" s="22" t="s">
        <v>140</v>
      </c>
      <c r="I32" s="22" t="s">
        <v>141</v>
      </c>
      <c r="J32" s="22" t="s">
        <v>51</v>
      </c>
      <c r="K32" s="22" t="s">
        <v>145</v>
      </c>
      <c r="L32" s="25" t="n">
        <v>25</v>
      </c>
      <c r="M32" s="25" t="n">
        <v>920</v>
      </c>
      <c r="N32" s="26" t="n">
        <f aca="false">IF(L32="","",L32*M32)</f>
        <v>23000</v>
      </c>
      <c r="O32" s="25" t="n">
        <v>630</v>
      </c>
      <c r="P32" s="26" t="n">
        <f aca="false">IF(L32="","",N32-L32*O32)</f>
        <v>7250</v>
      </c>
      <c r="Q32" s="27" t="n">
        <v>10</v>
      </c>
      <c r="R32" s="27" t="n">
        <v>12</v>
      </c>
      <c r="S32" s="22" t="s">
        <v>44</v>
      </c>
      <c r="T32" s="22" t="str">
        <f aca="false">IF(R32="","",IF(R32&lt;=Q32,"Yes","No"))</f>
        <v>No</v>
      </c>
      <c r="U32" s="22" t="str">
        <f aca="false">IF(B32="","",TEXT(YEAR(B32),"0"))</f>
        <v>2023</v>
      </c>
    </row>
    <row r="33" customFormat="false" ht="15" hidden="false" customHeight="false" outlineLevel="0" collapsed="false">
      <c r="A33" s="22" t="s">
        <v>146</v>
      </c>
      <c r="B33" s="23" t="n">
        <v>45010</v>
      </c>
      <c r="C33" s="24" t="n">
        <f aca="false">IF(B33="","",DATE(YEAR(B33),MONTH(B33),1))</f>
        <v>44986</v>
      </c>
      <c r="D33" s="22" t="s">
        <v>54</v>
      </c>
      <c r="E33" s="22" t="s">
        <v>47</v>
      </c>
      <c r="F33" s="22" t="s">
        <v>55</v>
      </c>
      <c r="G33" s="22" t="s">
        <v>56</v>
      </c>
      <c r="H33" s="22" t="s">
        <v>57</v>
      </c>
      <c r="I33" s="22" t="s">
        <v>58</v>
      </c>
      <c r="J33" s="22" t="s">
        <v>51</v>
      </c>
      <c r="K33" s="22" t="s">
        <v>76</v>
      </c>
      <c r="L33" s="25" t="n">
        <v>100</v>
      </c>
      <c r="M33" s="25" t="n">
        <v>740</v>
      </c>
      <c r="N33" s="26" t="n">
        <f aca="false">IF(L33="","",L33*M33)</f>
        <v>74000</v>
      </c>
      <c r="O33" s="25" t="n">
        <v>558</v>
      </c>
      <c r="P33" s="26" t="n">
        <f aca="false">IF(L33="","",N33-L33*O33)</f>
        <v>18200</v>
      </c>
      <c r="Q33" s="27" t="n">
        <v>10</v>
      </c>
      <c r="R33" s="27" t="n">
        <v>9</v>
      </c>
      <c r="S33" s="22" t="s">
        <v>44</v>
      </c>
      <c r="T33" s="22" t="str">
        <f aca="false">IF(R33="","",IF(R33&lt;=Q33,"Yes","No"))</f>
        <v>Yes</v>
      </c>
      <c r="U33" s="22" t="str">
        <f aca="false">IF(B33="","",TEXT(YEAR(B33),"0"))</f>
        <v>2023</v>
      </c>
    </row>
    <row r="34" customFormat="false" ht="15" hidden="false" customHeight="false" outlineLevel="0" collapsed="false">
      <c r="A34" s="22" t="s">
        <v>147</v>
      </c>
      <c r="B34" s="23" t="n">
        <v>45010</v>
      </c>
      <c r="C34" s="24" t="n">
        <f aca="false">IF(B34="","",DATE(YEAR(B34),MONTH(B34),1))</f>
        <v>44986</v>
      </c>
      <c r="D34" s="22" t="s">
        <v>108</v>
      </c>
      <c r="E34" s="22" t="s">
        <v>37</v>
      </c>
      <c r="F34" s="22" t="s">
        <v>109</v>
      </c>
      <c r="G34" s="22" t="s">
        <v>148</v>
      </c>
      <c r="H34" s="22" t="s">
        <v>149</v>
      </c>
      <c r="I34" s="22" t="s">
        <v>41</v>
      </c>
      <c r="J34" s="22" t="s">
        <v>150</v>
      </c>
      <c r="K34" s="22" t="s">
        <v>67</v>
      </c>
      <c r="L34" s="25" t="n">
        <v>50</v>
      </c>
      <c r="M34" s="25" t="n">
        <v>1030</v>
      </c>
      <c r="N34" s="26" t="n">
        <f aca="false">IF(L34="","",L34*M34)</f>
        <v>51500</v>
      </c>
      <c r="O34" s="25" t="n">
        <v>746</v>
      </c>
      <c r="P34" s="26" t="n">
        <f aca="false">IF(L34="","",N34-L34*O34)</f>
        <v>14200</v>
      </c>
      <c r="Q34" s="27" t="n">
        <v>25</v>
      </c>
      <c r="R34" s="27" t="n">
        <v>25</v>
      </c>
      <c r="S34" s="22" t="s">
        <v>44</v>
      </c>
      <c r="T34" s="22" t="str">
        <f aca="false">IF(R34="","",IF(R34&lt;=Q34,"Yes","No"))</f>
        <v>Yes</v>
      </c>
      <c r="U34" s="22" t="str">
        <f aca="false">IF(B34="","",TEXT(YEAR(B34),"0"))</f>
        <v>2023</v>
      </c>
    </row>
    <row r="35" customFormat="false" ht="15" hidden="false" customHeight="false" outlineLevel="0" collapsed="false">
      <c r="A35" s="22" t="s">
        <v>151</v>
      </c>
      <c r="B35" s="23" t="n">
        <v>45012</v>
      </c>
      <c r="C35" s="24" t="n">
        <f aca="false">IF(B35="","",DATE(YEAR(B35),MONTH(B35),1))</f>
        <v>44986</v>
      </c>
      <c r="D35" s="22" t="s">
        <v>46</v>
      </c>
      <c r="E35" s="22" t="s">
        <v>47</v>
      </c>
      <c r="F35" s="22" t="s">
        <v>48</v>
      </c>
      <c r="G35" s="22" t="s">
        <v>99</v>
      </c>
      <c r="H35" s="22" t="s">
        <v>100</v>
      </c>
      <c r="I35" s="22" t="s">
        <v>101</v>
      </c>
      <c r="J35" s="22" t="s">
        <v>80</v>
      </c>
      <c r="K35" s="22" t="s">
        <v>145</v>
      </c>
      <c r="L35" s="25" t="n">
        <v>50</v>
      </c>
      <c r="M35" s="25" t="n">
        <v>1315</v>
      </c>
      <c r="N35" s="26" t="n">
        <f aca="false">IF(L35="","",L35*M35)</f>
        <v>65750</v>
      </c>
      <c r="O35" s="25" t="n">
        <v>901</v>
      </c>
      <c r="P35" s="26" t="n">
        <f aca="false">IF(L35="","",N35-L35*O35)</f>
        <v>20700</v>
      </c>
      <c r="Q35" s="27" t="n">
        <v>10</v>
      </c>
      <c r="R35" s="27" t="n">
        <v>6</v>
      </c>
      <c r="S35" s="22" t="s">
        <v>44</v>
      </c>
      <c r="T35" s="22" t="str">
        <f aca="false">IF(R35="","",IF(R35&lt;=Q35,"Yes","No"))</f>
        <v>Yes</v>
      </c>
      <c r="U35" s="22" t="str">
        <f aca="false">IF(B35="","",TEXT(YEAR(B35),"0"))</f>
        <v>2023</v>
      </c>
    </row>
    <row r="36" customFormat="false" ht="15" hidden="false" customHeight="false" outlineLevel="0" collapsed="false">
      <c r="A36" s="22" t="s">
        <v>152</v>
      </c>
      <c r="B36" s="23" t="n">
        <v>45012</v>
      </c>
      <c r="C36" s="24" t="n">
        <f aca="false">IF(B36="","",DATE(YEAR(B36),MONTH(B36),1))</f>
        <v>44986</v>
      </c>
      <c r="D36" s="22" t="s">
        <v>133</v>
      </c>
      <c r="E36" s="22" t="s">
        <v>47</v>
      </c>
      <c r="F36" s="22" t="s">
        <v>104</v>
      </c>
      <c r="G36" s="22" t="s">
        <v>82</v>
      </c>
      <c r="H36" s="22" t="s">
        <v>83</v>
      </c>
      <c r="I36" s="22" t="s">
        <v>41</v>
      </c>
      <c r="J36" s="22" t="s">
        <v>66</v>
      </c>
      <c r="K36" s="22" t="s">
        <v>145</v>
      </c>
      <c r="L36" s="25" t="n">
        <v>500</v>
      </c>
      <c r="M36" s="25" t="n">
        <v>590</v>
      </c>
      <c r="N36" s="26" t="n">
        <f aca="false">IF(L36="","",L36*M36)</f>
        <v>295000</v>
      </c>
      <c r="O36" s="25" t="n">
        <v>490</v>
      </c>
      <c r="P36" s="26" t="n">
        <f aca="false">IF(L36="","",N36-L36*O36)</f>
        <v>50000</v>
      </c>
      <c r="Q36" s="27" t="n">
        <v>12</v>
      </c>
      <c r="R36" s="27" t="n">
        <v>14</v>
      </c>
      <c r="S36" s="22" t="s">
        <v>44</v>
      </c>
      <c r="T36" s="22" t="str">
        <f aca="false">IF(R36="","",IF(R36&lt;=Q36,"Yes","No"))</f>
        <v>No</v>
      </c>
      <c r="U36" s="22" t="str">
        <f aca="false">IF(B36="","",TEXT(YEAR(B36),"0"))</f>
        <v>2023</v>
      </c>
    </row>
    <row r="37" customFormat="false" ht="15" hidden="false" customHeight="false" outlineLevel="0" collapsed="false">
      <c r="A37" s="22" t="s">
        <v>153</v>
      </c>
      <c r="B37" s="23" t="n">
        <v>45013</v>
      </c>
      <c r="C37" s="24" t="n">
        <f aca="false">IF(B37="","",DATE(YEAR(B37),MONTH(B37),1))</f>
        <v>44986</v>
      </c>
      <c r="D37" s="22" t="s">
        <v>36</v>
      </c>
      <c r="E37" s="22" t="s">
        <v>37</v>
      </c>
      <c r="F37" s="22" t="s">
        <v>38</v>
      </c>
      <c r="G37" s="22" t="s">
        <v>73</v>
      </c>
      <c r="H37" s="22" t="s">
        <v>74</v>
      </c>
      <c r="I37" s="22" t="s">
        <v>75</v>
      </c>
      <c r="J37" s="22" t="s">
        <v>51</v>
      </c>
      <c r="K37" s="22" t="s">
        <v>52</v>
      </c>
      <c r="L37" s="25" t="n">
        <v>300</v>
      </c>
      <c r="M37" s="25" t="n">
        <v>760</v>
      </c>
      <c r="N37" s="26" t="n">
        <f aca="false">IF(L37="","",L37*M37)</f>
        <v>228000</v>
      </c>
      <c r="O37" s="25" t="n">
        <v>586</v>
      </c>
      <c r="P37" s="26" t="n">
        <f aca="false">IF(L37="","",N37-L37*O37)</f>
        <v>52200</v>
      </c>
      <c r="Q37" s="27" t="n">
        <v>21</v>
      </c>
      <c r="R37" s="27" t="n">
        <v>23</v>
      </c>
      <c r="S37" s="22" t="s">
        <v>44</v>
      </c>
      <c r="T37" s="22" t="str">
        <f aca="false">IF(R37="","",IF(R37&lt;=Q37,"Yes","No"))</f>
        <v>No</v>
      </c>
      <c r="U37" s="22" t="str">
        <f aca="false">IF(B37="","",TEXT(YEAR(B37),"0"))</f>
        <v>2023</v>
      </c>
    </row>
    <row r="38" customFormat="false" ht="15" hidden="false" customHeight="false" outlineLevel="0" collapsed="false">
      <c r="A38" s="22" t="s">
        <v>154</v>
      </c>
      <c r="B38" s="23" t="n">
        <v>45023</v>
      </c>
      <c r="C38" s="24" t="n">
        <f aca="false">IF(B38="","",DATE(YEAR(B38),MONTH(B38),1))</f>
        <v>45017</v>
      </c>
      <c r="D38" s="22" t="s">
        <v>36</v>
      </c>
      <c r="E38" s="22" t="s">
        <v>37</v>
      </c>
      <c r="F38" s="22" t="s">
        <v>38</v>
      </c>
      <c r="G38" s="22" t="s">
        <v>155</v>
      </c>
      <c r="H38" s="22" t="s">
        <v>156</v>
      </c>
      <c r="I38" s="22" t="s">
        <v>157</v>
      </c>
      <c r="J38" s="22" t="s">
        <v>122</v>
      </c>
      <c r="K38" s="22" t="s">
        <v>43</v>
      </c>
      <c r="L38" s="25" t="n">
        <v>100</v>
      </c>
      <c r="M38" s="25" t="n">
        <v>1105</v>
      </c>
      <c r="N38" s="26" t="n">
        <f aca="false">IF(L38="","",L38*M38)</f>
        <v>110500</v>
      </c>
      <c r="O38" s="25" t="n">
        <v>781</v>
      </c>
      <c r="P38" s="26" t="n">
        <f aca="false">IF(L38="","",N38-L38*O38)</f>
        <v>32400</v>
      </c>
      <c r="Q38" s="27" t="n">
        <v>25</v>
      </c>
      <c r="R38" s="27" t="n">
        <v>24</v>
      </c>
      <c r="S38" s="22" t="s">
        <v>44</v>
      </c>
      <c r="T38" s="22" t="str">
        <f aca="false">IF(R38="","",IF(R38&lt;=Q38,"Yes","No"))</f>
        <v>Yes</v>
      </c>
      <c r="U38" s="22" t="str">
        <f aca="false">IF(B38="","",TEXT(YEAR(B38),"0"))</f>
        <v>2023</v>
      </c>
    </row>
    <row r="39" customFormat="false" ht="15" hidden="false" customHeight="false" outlineLevel="0" collapsed="false">
      <c r="A39" s="22" t="s">
        <v>158</v>
      </c>
      <c r="B39" s="23" t="n">
        <v>45023</v>
      </c>
      <c r="C39" s="24" t="n">
        <f aca="false">IF(B39="","",DATE(YEAR(B39),MONTH(B39),1))</f>
        <v>45017</v>
      </c>
      <c r="D39" s="22" t="s">
        <v>96</v>
      </c>
      <c r="E39" s="22" t="s">
        <v>47</v>
      </c>
      <c r="F39" s="22" t="s">
        <v>97</v>
      </c>
      <c r="G39" s="22" t="s">
        <v>148</v>
      </c>
      <c r="H39" s="22" t="s">
        <v>149</v>
      </c>
      <c r="I39" s="22" t="s">
        <v>41</v>
      </c>
      <c r="J39" s="22" t="s">
        <v>150</v>
      </c>
      <c r="K39" s="22" t="s">
        <v>67</v>
      </c>
      <c r="L39" s="25" t="n">
        <v>50</v>
      </c>
      <c r="M39" s="25" t="n">
        <v>1110</v>
      </c>
      <c r="N39" s="26" t="n">
        <f aca="false">IF(L39="","",L39*M39)</f>
        <v>55500</v>
      </c>
      <c r="O39" s="25" t="n">
        <v>741</v>
      </c>
      <c r="P39" s="26" t="n">
        <f aca="false">IF(L39="","",N39-L39*O39)</f>
        <v>18450</v>
      </c>
      <c r="Q39" s="27" t="n">
        <v>10</v>
      </c>
      <c r="R39" s="27" t="n">
        <v>6</v>
      </c>
      <c r="S39" s="22" t="s">
        <v>44</v>
      </c>
      <c r="T39" s="22" t="str">
        <f aca="false">IF(R39="","",IF(R39&lt;=Q39,"Yes","No"))</f>
        <v>Yes</v>
      </c>
      <c r="U39" s="22" t="str">
        <f aca="false">IF(B39="","",TEXT(YEAR(B39),"0"))</f>
        <v>2023</v>
      </c>
    </row>
    <row r="40" customFormat="false" ht="15" hidden="false" customHeight="false" outlineLevel="0" collapsed="false">
      <c r="A40" s="22" t="s">
        <v>159</v>
      </c>
      <c r="B40" s="23" t="n">
        <v>45024</v>
      </c>
      <c r="C40" s="24" t="n">
        <f aca="false">IF(B40="","",DATE(YEAR(B40),MONTH(B40),1))</f>
        <v>45017</v>
      </c>
      <c r="D40" s="22" t="s">
        <v>69</v>
      </c>
      <c r="E40" s="22" t="s">
        <v>37</v>
      </c>
      <c r="F40" s="22" t="s">
        <v>62</v>
      </c>
      <c r="G40" s="22" t="s">
        <v>49</v>
      </c>
      <c r="H40" s="22" t="s">
        <v>50</v>
      </c>
      <c r="I40" s="22" t="s">
        <v>41</v>
      </c>
      <c r="J40" s="22" t="s">
        <v>51</v>
      </c>
      <c r="K40" s="22" t="s">
        <v>52</v>
      </c>
      <c r="L40" s="25" t="n">
        <v>50</v>
      </c>
      <c r="M40" s="25" t="n">
        <v>815</v>
      </c>
      <c r="N40" s="26" t="n">
        <f aca="false">IF(L40="","",L40*M40)</f>
        <v>40750</v>
      </c>
      <c r="O40" s="25" t="n">
        <v>573</v>
      </c>
      <c r="P40" s="26" t="n">
        <f aca="false">IF(L40="","",N40-L40*O40)</f>
        <v>12100</v>
      </c>
      <c r="Q40" s="27" t="n">
        <v>25</v>
      </c>
      <c r="R40" s="27" t="n">
        <v>23</v>
      </c>
      <c r="S40" s="22" t="s">
        <v>44</v>
      </c>
      <c r="T40" s="22" t="str">
        <f aca="false">IF(R40="","",IF(R40&lt;=Q40,"Yes","No"))</f>
        <v>Yes</v>
      </c>
      <c r="U40" s="22" t="str">
        <f aca="false">IF(B40="","",TEXT(YEAR(B40),"0"))</f>
        <v>2023</v>
      </c>
    </row>
    <row r="41" customFormat="false" ht="15" hidden="false" customHeight="false" outlineLevel="0" collapsed="false">
      <c r="A41" s="22" t="s">
        <v>160</v>
      </c>
      <c r="B41" s="23" t="n">
        <v>45026</v>
      </c>
      <c r="C41" s="24" t="n">
        <f aca="false">IF(B41="","",DATE(YEAR(B41),MONTH(B41),1))</f>
        <v>45017</v>
      </c>
      <c r="D41" s="22" t="s">
        <v>133</v>
      </c>
      <c r="E41" s="22" t="s">
        <v>47</v>
      </c>
      <c r="F41" s="22" t="s">
        <v>104</v>
      </c>
      <c r="G41" s="22" t="s">
        <v>134</v>
      </c>
      <c r="H41" s="22" t="s">
        <v>135</v>
      </c>
      <c r="I41" s="22" t="s">
        <v>136</v>
      </c>
      <c r="J41" s="22" t="s">
        <v>66</v>
      </c>
      <c r="K41" s="22" t="s">
        <v>67</v>
      </c>
      <c r="L41" s="25" t="n">
        <v>100</v>
      </c>
      <c r="M41" s="25" t="n">
        <v>720</v>
      </c>
      <c r="N41" s="26" t="n">
        <f aca="false">IF(L41="","",L41*M41)</f>
        <v>72000</v>
      </c>
      <c r="O41" s="25" t="n">
        <v>522</v>
      </c>
      <c r="P41" s="26" t="n">
        <f aca="false">IF(L41="","",N41-L41*O41)</f>
        <v>19800</v>
      </c>
      <c r="Q41" s="27" t="n">
        <v>15</v>
      </c>
      <c r="R41" s="27" t="n">
        <v>15</v>
      </c>
      <c r="S41" s="22" t="s">
        <v>44</v>
      </c>
      <c r="T41" s="22" t="str">
        <f aca="false">IF(R41="","",IF(R41&lt;=Q41,"Yes","No"))</f>
        <v>Yes</v>
      </c>
      <c r="U41" s="22" t="str">
        <f aca="false">IF(B41="","",TEXT(YEAR(B41),"0"))</f>
        <v>2023</v>
      </c>
    </row>
    <row r="42" customFormat="false" ht="15" hidden="false" customHeight="false" outlineLevel="0" collapsed="false">
      <c r="A42" s="22" t="s">
        <v>161</v>
      </c>
      <c r="B42" s="23" t="n">
        <v>45028</v>
      </c>
      <c r="C42" s="24" t="n">
        <f aca="false">IF(B42="","",DATE(YEAR(B42),MONTH(B42),1))</f>
        <v>45017</v>
      </c>
      <c r="D42" s="22" t="s">
        <v>103</v>
      </c>
      <c r="E42" s="22" t="s">
        <v>47</v>
      </c>
      <c r="F42" s="22" t="s">
        <v>104</v>
      </c>
      <c r="G42" s="22" t="s">
        <v>162</v>
      </c>
      <c r="H42" s="22" t="s">
        <v>163</v>
      </c>
      <c r="I42" s="22" t="s">
        <v>164</v>
      </c>
      <c r="J42" s="22" t="s">
        <v>122</v>
      </c>
      <c r="K42" s="22" t="s">
        <v>52</v>
      </c>
      <c r="L42" s="25" t="n">
        <v>50</v>
      </c>
      <c r="M42" s="25" t="n">
        <v>1160</v>
      </c>
      <c r="N42" s="26" t="n">
        <f aca="false">IF(L42="","",L42*M42)</f>
        <v>58000</v>
      </c>
      <c r="O42" s="25" t="n">
        <v>791</v>
      </c>
      <c r="P42" s="26" t="n">
        <f aca="false">IF(L42="","",N42-L42*O42)</f>
        <v>18450</v>
      </c>
      <c r="Q42" s="27" t="n">
        <v>12</v>
      </c>
      <c r="R42" s="27" t="n">
        <v>9</v>
      </c>
      <c r="S42" s="22" t="s">
        <v>44</v>
      </c>
      <c r="T42" s="22" t="str">
        <f aca="false">IF(R42="","",IF(R42&lt;=Q42,"Yes","No"))</f>
        <v>Yes</v>
      </c>
      <c r="U42" s="22" t="str">
        <f aca="false">IF(B42="","",TEXT(YEAR(B42),"0"))</f>
        <v>2023</v>
      </c>
    </row>
    <row r="43" customFormat="false" ht="15" hidden="false" customHeight="false" outlineLevel="0" collapsed="false">
      <c r="A43" s="22" t="s">
        <v>165</v>
      </c>
      <c r="B43" s="23" t="n">
        <v>45029</v>
      </c>
      <c r="C43" s="24" t="n">
        <f aca="false">IF(B43="","",DATE(YEAR(B43),MONTH(B43),1))</f>
        <v>45017</v>
      </c>
      <c r="D43" s="22" t="s">
        <v>46</v>
      </c>
      <c r="E43" s="22" t="s">
        <v>47</v>
      </c>
      <c r="F43" s="22" t="s">
        <v>48</v>
      </c>
      <c r="G43" s="22" t="s">
        <v>56</v>
      </c>
      <c r="H43" s="22" t="s">
        <v>57</v>
      </c>
      <c r="I43" s="22" t="s">
        <v>58</v>
      </c>
      <c r="J43" s="22" t="s">
        <v>51</v>
      </c>
      <c r="K43" s="22" t="s">
        <v>52</v>
      </c>
      <c r="L43" s="25" t="n">
        <v>50</v>
      </c>
      <c r="M43" s="25" t="n">
        <v>760</v>
      </c>
      <c r="N43" s="26" t="n">
        <f aca="false">IF(L43="","",L43*M43)</f>
        <v>38000</v>
      </c>
      <c r="O43" s="25" t="n">
        <v>547</v>
      </c>
      <c r="P43" s="26" t="n">
        <f aca="false">IF(L43="","",N43-L43*O43)</f>
        <v>10650</v>
      </c>
      <c r="Q43" s="27" t="n">
        <v>15</v>
      </c>
      <c r="R43" s="27" t="n">
        <v>13</v>
      </c>
      <c r="S43" s="22" t="s">
        <v>44</v>
      </c>
      <c r="T43" s="22" t="str">
        <f aca="false">IF(R43="","",IF(R43&lt;=Q43,"Yes","No"))</f>
        <v>Yes</v>
      </c>
      <c r="U43" s="22" t="str">
        <f aca="false">IF(B43="","",TEXT(YEAR(B43),"0"))</f>
        <v>2023</v>
      </c>
    </row>
    <row r="44" customFormat="false" ht="15" hidden="false" customHeight="false" outlineLevel="0" collapsed="false">
      <c r="A44" s="22" t="s">
        <v>166</v>
      </c>
      <c r="B44" s="23" t="n">
        <v>45031</v>
      </c>
      <c r="C44" s="24" t="n">
        <f aca="false">IF(B44="","",DATE(YEAR(B44),MONTH(B44),1))</f>
        <v>45017</v>
      </c>
      <c r="D44" s="22" t="s">
        <v>108</v>
      </c>
      <c r="E44" s="22" t="s">
        <v>37</v>
      </c>
      <c r="F44" s="22" t="s">
        <v>109</v>
      </c>
      <c r="G44" s="22" t="s">
        <v>167</v>
      </c>
      <c r="H44" s="22" t="s">
        <v>168</v>
      </c>
      <c r="I44" s="22" t="s">
        <v>41</v>
      </c>
      <c r="J44" s="22" t="s">
        <v>150</v>
      </c>
      <c r="K44" s="22" t="s">
        <v>67</v>
      </c>
      <c r="L44" s="25" t="n">
        <v>200</v>
      </c>
      <c r="M44" s="25" t="n">
        <v>990</v>
      </c>
      <c r="N44" s="26" t="n">
        <f aca="false">IF(L44="","",L44*M44)</f>
        <v>198000</v>
      </c>
      <c r="O44" s="25" t="n">
        <v>718</v>
      </c>
      <c r="P44" s="26" t="n">
        <f aca="false">IF(L44="","",N44-L44*O44)</f>
        <v>54400</v>
      </c>
      <c r="Q44" s="27" t="n">
        <v>21</v>
      </c>
      <c r="R44" s="27" t="n">
        <v>19</v>
      </c>
      <c r="S44" s="22" t="s">
        <v>44</v>
      </c>
      <c r="T44" s="22" t="str">
        <f aca="false">IF(R44="","",IF(R44&lt;=Q44,"Yes","No"))</f>
        <v>Yes</v>
      </c>
      <c r="U44" s="22" t="str">
        <f aca="false">IF(B44="","",TEXT(YEAR(B44),"0"))</f>
        <v>2023</v>
      </c>
    </row>
    <row r="45" customFormat="false" ht="15" hidden="false" customHeight="false" outlineLevel="0" collapsed="false">
      <c r="A45" s="22" t="s">
        <v>169</v>
      </c>
      <c r="B45" s="23" t="n">
        <v>45031</v>
      </c>
      <c r="C45" s="24" t="n">
        <f aca="false">IF(B45="","",DATE(YEAR(B45),MONTH(B45),1))</f>
        <v>45017</v>
      </c>
      <c r="D45" s="22" t="s">
        <v>36</v>
      </c>
      <c r="E45" s="22" t="s">
        <v>37</v>
      </c>
      <c r="F45" s="22" t="s">
        <v>38</v>
      </c>
      <c r="G45" s="22" t="s">
        <v>167</v>
      </c>
      <c r="H45" s="22" t="s">
        <v>168</v>
      </c>
      <c r="I45" s="22" t="s">
        <v>41</v>
      </c>
      <c r="J45" s="22" t="s">
        <v>150</v>
      </c>
      <c r="K45" s="22" t="s">
        <v>52</v>
      </c>
      <c r="L45" s="25" t="n">
        <v>50</v>
      </c>
      <c r="M45" s="25" t="n">
        <v>1005</v>
      </c>
      <c r="N45" s="26" t="n">
        <f aca="false">IF(L45="","",L45*M45)</f>
        <v>50250</v>
      </c>
      <c r="O45" s="25" t="n">
        <v>724</v>
      </c>
      <c r="P45" s="26" t="n">
        <f aca="false">IF(L45="","",N45-L45*O45)</f>
        <v>14050</v>
      </c>
      <c r="Q45" s="27" t="n">
        <v>25</v>
      </c>
      <c r="R45" s="27" t="n">
        <v>26</v>
      </c>
      <c r="S45" s="22" t="s">
        <v>44</v>
      </c>
      <c r="T45" s="22" t="str">
        <f aca="false">IF(R45="","",IF(R45&lt;=Q45,"Yes","No"))</f>
        <v>No</v>
      </c>
      <c r="U45" s="22" t="str">
        <f aca="false">IF(B45="","",TEXT(YEAR(B45),"0"))</f>
        <v>2023</v>
      </c>
    </row>
    <row r="46" customFormat="false" ht="15" hidden="false" customHeight="false" outlineLevel="0" collapsed="false">
      <c r="A46" s="22" t="s">
        <v>170</v>
      </c>
      <c r="B46" s="23" t="n">
        <v>45034</v>
      </c>
      <c r="C46" s="24" t="n">
        <f aca="false">IF(B46="","",DATE(YEAR(B46),MONTH(B46),1))</f>
        <v>45017</v>
      </c>
      <c r="D46" s="22" t="s">
        <v>96</v>
      </c>
      <c r="E46" s="22" t="s">
        <v>47</v>
      </c>
      <c r="F46" s="22" t="s">
        <v>97</v>
      </c>
      <c r="G46" s="22" t="s">
        <v>171</v>
      </c>
      <c r="H46" s="22" t="s">
        <v>172</v>
      </c>
      <c r="I46" s="22" t="s">
        <v>173</v>
      </c>
      <c r="J46" s="22" t="s">
        <v>113</v>
      </c>
      <c r="K46" s="22" t="s">
        <v>67</v>
      </c>
      <c r="L46" s="25" t="n">
        <v>50</v>
      </c>
      <c r="M46" s="25" t="n">
        <v>980</v>
      </c>
      <c r="N46" s="26" t="n">
        <f aca="false">IF(L46="","",L46*M46)</f>
        <v>49000</v>
      </c>
      <c r="O46" s="25" t="n">
        <v>684</v>
      </c>
      <c r="P46" s="26" t="n">
        <f aca="false">IF(L46="","",N46-L46*O46)</f>
        <v>14800</v>
      </c>
      <c r="Q46" s="27" t="n">
        <v>10</v>
      </c>
      <c r="R46" s="27" t="n">
        <v>8</v>
      </c>
      <c r="S46" s="22" t="s">
        <v>44</v>
      </c>
      <c r="T46" s="22" t="str">
        <f aca="false">IF(R46="","",IF(R46&lt;=Q46,"Yes","No"))</f>
        <v>Yes</v>
      </c>
      <c r="U46" s="22" t="str">
        <f aca="false">IF(B46="","",TEXT(YEAR(B46),"0"))</f>
        <v>2023</v>
      </c>
    </row>
    <row r="47" customFormat="false" ht="15" hidden="false" customHeight="false" outlineLevel="0" collapsed="false">
      <c r="A47" s="22" t="s">
        <v>174</v>
      </c>
      <c r="B47" s="23" t="n">
        <v>45052</v>
      </c>
      <c r="C47" s="24" t="n">
        <f aca="false">IF(B47="","",DATE(YEAR(B47),MONTH(B47),1))</f>
        <v>45047</v>
      </c>
      <c r="D47" s="22" t="s">
        <v>36</v>
      </c>
      <c r="E47" s="22" t="s">
        <v>37</v>
      </c>
      <c r="F47" s="22" t="s">
        <v>38</v>
      </c>
      <c r="G47" s="22" t="s">
        <v>39</v>
      </c>
      <c r="H47" s="22" t="s">
        <v>40</v>
      </c>
      <c r="I47" s="22" t="s">
        <v>41</v>
      </c>
      <c r="J47" s="22" t="s">
        <v>42</v>
      </c>
      <c r="K47" s="22" t="s">
        <v>67</v>
      </c>
      <c r="L47" s="25" t="n">
        <v>100</v>
      </c>
      <c r="M47" s="25" t="n">
        <v>805</v>
      </c>
      <c r="N47" s="26" t="n">
        <f aca="false">IF(L47="","",L47*M47)</f>
        <v>80500</v>
      </c>
      <c r="O47" s="25" t="n">
        <v>609</v>
      </c>
      <c r="P47" s="26" t="n">
        <f aca="false">IF(L47="","",N47-L47*O47)</f>
        <v>19600</v>
      </c>
      <c r="Q47" s="27" t="n">
        <v>21</v>
      </c>
      <c r="R47" s="27" t="n">
        <v>19</v>
      </c>
      <c r="S47" s="22" t="s">
        <v>44</v>
      </c>
      <c r="T47" s="22" t="str">
        <f aca="false">IF(R47="","",IF(R47&lt;=Q47,"Yes","No"))</f>
        <v>Yes</v>
      </c>
      <c r="U47" s="22" t="str">
        <f aca="false">IF(B47="","",TEXT(YEAR(B47),"0"))</f>
        <v>2023</v>
      </c>
    </row>
    <row r="48" customFormat="false" ht="15" hidden="false" customHeight="false" outlineLevel="0" collapsed="false">
      <c r="A48" s="22" t="s">
        <v>175</v>
      </c>
      <c r="B48" s="23" t="n">
        <v>45052</v>
      </c>
      <c r="C48" s="24" t="n">
        <f aca="false">IF(B48="","",DATE(YEAR(B48),MONTH(B48),1))</f>
        <v>45047</v>
      </c>
      <c r="D48" s="22" t="s">
        <v>133</v>
      </c>
      <c r="E48" s="22" t="s">
        <v>47</v>
      </c>
      <c r="F48" s="22" t="s">
        <v>104</v>
      </c>
      <c r="G48" s="22" t="s">
        <v>162</v>
      </c>
      <c r="H48" s="22" t="s">
        <v>163</v>
      </c>
      <c r="I48" s="22" t="s">
        <v>164</v>
      </c>
      <c r="J48" s="22" t="s">
        <v>122</v>
      </c>
      <c r="K48" s="22" t="s">
        <v>145</v>
      </c>
      <c r="L48" s="25" t="n">
        <v>25</v>
      </c>
      <c r="M48" s="25" t="n">
        <v>1150</v>
      </c>
      <c r="N48" s="26" t="n">
        <f aca="false">IF(L48="","",L48*M48)</f>
        <v>28750</v>
      </c>
      <c r="O48" s="25" t="n">
        <v>777</v>
      </c>
      <c r="P48" s="26" t="n">
        <f aca="false">IF(L48="","",N48-L48*O48)</f>
        <v>9325</v>
      </c>
      <c r="Q48" s="27" t="n">
        <v>15</v>
      </c>
      <c r="R48" s="27" t="n">
        <v>19</v>
      </c>
      <c r="S48" s="22" t="s">
        <v>44</v>
      </c>
      <c r="T48" s="22" t="str">
        <f aca="false">IF(R48="","",IF(R48&lt;=Q48,"Yes","No"))</f>
        <v>No</v>
      </c>
      <c r="U48" s="22" t="str">
        <f aca="false">IF(B48="","",TEXT(YEAR(B48),"0"))</f>
        <v>2023</v>
      </c>
    </row>
    <row r="49" customFormat="false" ht="15" hidden="false" customHeight="false" outlineLevel="0" collapsed="false">
      <c r="A49" s="22" t="s">
        <v>176</v>
      </c>
      <c r="B49" s="23" t="n">
        <v>45054</v>
      </c>
      <c r="C49" s="24" t="n">
        <f aca="false">IF(B49="","",DATE(YEAR(B49),MONTH(B49),1))</f>
        <v>45047</v>
      </c>
      <c r="D49" s="22" t="s">
        <v>36</v>
      </c>
      <c r="E49" s="22" t="s">
        <v>37</v>
      </c>
      <c r="F49" s="22" t="s">
        <v>38</v>
      </c>
      <c r="G49" s="22" t="s">
        <v>63</v>
      </c>
      <c r="H49" s="22" t="s">
        <v>64</v>
      </c>
      <c r="I49" s="22" t="s">
        <v>65</v>
      </c>
      <c r="J49" s="22" t="s">
        <v>66</v>
      </c>
      <c r="K49" s="22" t="s">
        <v>43</v>
      </c>
      <c r="L49" s="25" t="n">
        <v>100</v>
      </c>
      <c r="M49" s="25" t="n">
        <v>680</v>
      </c>
      <c r="N49" s="26" t="n">
        <f aca="false">IF(L49="","",L49*M49)</f>
        <v>68000</v>
      </c>
      <c r="O49" s="25" t="n">
        <v>536</v>
      </c>
      <c r="P49" s="26" t="n">
        <f aca="false">IF(L49="","",N49-L49*O49)</f>
        <v>14400</v>
      </c>
      <c r="Q49" s="27" t="n">
        <v>30</v>
      </c>
      <c r="R49" s="27" t="n">
        <v>29</v>
      </c>
      <c r="S49" s="22" t="s">
        <v>44</v>
      </c>
      <c r="T49" s="22" t="str">
        <f aca="false">IF(R49="","",IF(R49&lt;=Q49,"Yes","No"))</f>
        <v>Yes</v>
      </c>
      <c r="U49" s="22" t="str">
        <f aca="false">IF(B49="","",TEXT(YEAR(B49),"0"))</f>
        <v>2023</v>
      </c>
    </row>
    <row r="50" customFormat="false" ht="15" hidden="false" customHeight="false" outlineLevel="0" collapsed="false">
      <c r="A50" s="22" t="s">
        <v>177</v>
      </c>
      <c r="B50" s="23" t="n">
        <v>45061</v>
      </c>
      <c r="C50" s="24" t="n">
        <f aca="false">IF(B50="","",DATE(YEAR(B50),MONTH(B50),1))</f>
        <v>45047</v>
      </c>
      <c r="D50" s="22" t="s">
        <v>46</v>
      </c>
      <c r="E50" s="22" t="s">
        <v>47</v>
      </c>
      <c r="F50" s="22" t="s">
        <v>48</v>
      </c>
      <c r="G50" s="22" t="s">
        <v>49</v>
      </c>
      <c r="H50" s="22" t="s">
        <v>50</v>
      </c>
      <c r="I50" s="22" t="s">
        <v>41</v>
      </c>
      <c r="J50" s="22" t="s">
        <v>51</v>
      </c>
      <c r="K50" s="22" t="s">
        <v>67</v>
      </c>
      <c r="L50" s="25" t="n">
        <v>100</v>
      </c>
      <c r="M50" s="25" t="n">
        <v>795</v>
      </c>
      <c r="N50" s="26" t="n">
        <f aca="false">IF(L50="","",L50*M50)</f>
        <v>79500</v>
      </c>
      <c r="O50" s="25" t="n">
        <v>575</v>
      </c>
      <c r="P50" s="26" t="n">
        <f aca="false">IF(L50="","",N50-L50*O50)</f>
        <v>22000</v>
      </c>
      <c r="Q50" s="27" t="n">
        <v>12</v>
      </c>
      <c r="R50" s="27" t="n">
        <v>13</v>
      </c>
      <c r="S50" s="22" t="s">
        <v>44</v>
      </c>
      <c r="T50" s="22" t="str">
        <f aca="false">IF(R50="","",IF(R50&lt;=Q50,"Yes","No"))</f>
        <v>No</v>
      </c>
      <c r="U50" s="22" t="str">
        <f aca="false">IF(B50="","",TEXT(YEAR(B50),"0"))</f>
        <v>2023</v>
      </c>
    </row>
    <row r="51" customFormat="false" ht="15" hidden="false" customHeight="false" outlineLevel="0" collapsed="false">
      <c r="A51" s="22" t="s">
        <v>178</v>
      </c>
      <c r="B51" s="23" t="n">
        <v>45063</v>
      </c>
      <c r="C51" s="24" t="n">
        <f aca="false">IF(B51="","",DATE(YEAR(B51),MONTH(B51),1))</f>
        <v>45047</v>
      </c>
      <c r="D51" s="22" t="s">
        <v>54</v>
      </c>
      <c r="E51" s="22" t="s">
        <v>47</v>
      </c>
      <c r="F51" s="22" t="s">
        <v>55</v>
      </c>
      <c r="G51" s="22" t="s">
        <v>116</v>
      </c>
      <c r="H51" s="22" t="s">
        <v>117</v>
      </c>
      <c r="I51" s="22" t="s">
        <v>41</v>
      </c>
      <c r="J51" s="22" t="s">
        <v>80</v>
      </c>
      <c r="K51" s="22" t="s">
        <v>43</v>
      </c>
      <c r="L51" s="25" t="n">
        <v>25</v>
      </c>
      <c r="M51" s="25" t="n">
        <v>1275</v>
      </c>
      <c r="N51" s="26" t="n">
        <f aca="false">IF(L51="","",L51*M51)</f>
        <v>31875</v>
      </c>
      <c r="O51" s="25" t="n">
        <v>841</v>
      </c>
      <c r="P51" s="26" t="n">
        <f aca="false">IF(L51="","",N51-L51*O51)</f>
        <v>10850</v>
      </c>
      <c r="Q51" s="27" t="n">
        <v>12</v>
      </c>
      <c r="R51" s="27" t="n">
        <v>5</v>
      </c>
      <c r="S51" s="22" t="s">
        <v>44</v>
      </c>
      <c r="T51" s="22" t="str">
        <f aca="false">IF(R51="","",IF(R51&lt;=Q51,"Yes","No"))</f>
        <v>Yes</v>
      </c>
      <c r="U51" s="22" t="str">
        <f aca="false">IF(B51="","",TEXT(YEAR(B51),"0"))</f>
        <v>2023</v>
      </c>
    </row>
    <row r="52" customFormat="false" ht="15" hidden="false" customHeight="false" outlineLevel="0" collapsed="false">
      <c r="A52" s="22" t="s">
        <v>179</v>
      </c>
      <c r="B52" s="23" t="n">
        <v>45064</v>
      </c>
      <c r="C52" s="24" t="n">
        <f aca="false">IF(B52="","",DATE(YEAR(B52),MONTH(B52),1))</f>
        <v>45047</v>
      </c>
      <c r="D52" s="22" t="s">
        <v>36</v>
      </c>
      <c r="E52" s="22" t="s">
        <v>37</v>
      </c>
      <c r="F52" s="22" t="s">
        <v>38</v>
      </c>
      <c r="G52" s="22" t="s">
        <v>63</v>
      </c>
      <c r="H52" s="22" t="s">
        <v>64</v>
      </c>
      <c r="I52" s="22" t="s">
        <v>65</v>
      </c>
      <c r="J52" s="22" t="s">
        <v>66</v>
      </c>
      <c r="K52" s="22" t="s">
        <v>52</v>
      </c>
      <c r="L52" s="25" t="n">
        <v>500</v>
      </c>
      <c r="M52" s="25" t="n">
        <v>650</v>
      </c>
      <c r="N52" s="26" t="n">
        <f aca="false">IF(L52="","",L52*M52)</f>
        <v>325000</v>
      </c>
      <c r="O52" s="25" t="n">
        <v>538</v>
      </c>
      <c r="P52" s="26" t="n">
        <f aca="false">IF(L52="","",N52-L52*O52)</f>
        <v>56000</v>
      </c>
      <c r="Q52" s="27" t="n">
        <v>25</v>
      </c>
      <c r="R52" s="27" t="n">
        <v>24</v>
      </c>
      <c r="S52" s="22" t="s">
        <v>44</v>
      </c>
      <c r="T52" s="22" t="str">
        <f aca="false">IF(R52="","",IF(R52&lt;=Q52,"Yes","No"))</f>
        <v>Yes</v>
      </c>
      <c r="U52" s="22" t="str">
        <f aca="false">IF(B52="","",TEXT(YEAR(B52),"0"))</f>
        <v>2023</v>
      </c>
    </row>
    <row r="53" customFormat="false" ht="15" hidden="false" customHeight="false" outlineLevel="0" collapsed="false">
      <c r="A53" s="22" t="s">
        <v>180</v>
      </c>
      <c r="B53" s="23" t="n">
        <v>45065</v>
      </c>
      <c r="C53" s="24" t="n">
        <f aca="false">IF(B53="","",DATE(YEAR(B53),MONTH(B53),1))</f>
        <v>45047</v>
      </c>
      <c r="D53" s="22" t="s">
        <v>69</v>
      </c>
      <c r="E53" s="22" t="s">
        <v>37</v>
      </c>
      <c r="F53" s="22" t="s">
        <v>62</v>
      </c>
      <c r="G53" s="22" t="s">
        <v>181</v>
      </c>
      <c r="H53" s="22" t="s">
        <v>182</v>
      </c>
      <c r="I53" s="22" t="s">
        <v>183</v>
      </c>
      <c r="J53" s="22" t="s">
        <v>122</v>
      </c>
      <c r="K53" s="22" t="s">
        <v>43</v>
      </c>
      <c r="L53" s="25" t="n">
        <v>100</v>
      </c>
      <c r="M53" s="25" t="n">
        <v>995</v>
      </c>
      <c r="N53" s="26" t="n">
        <f aca="false">IF(L53="","",L53*M53)</f>
        <v>99500</v>
      </c>
      <c r="O53" s="25" t="n">
        <v>702</v>
      </c>
      <c r="P53" s="26" t="n">
        <f aca="false">IF(L53="","",N53-L53*O53)</f>
        <v>29300</v>
      </c>
      <c r="Q53" s="27" t="n">
        <v>25</v>
      </c>
      <c r="R53" s="27" t="n">
        <v>24</v>
      </c>
      <c r="S53" s="22" t="s">
        <v>44</v>
      </c>
      <c r="T53" s="22" t="str">
        <f aca="false">IF(R53="","",IF(R53&lt;=Q53,"Yes","No"))</f>
        <v>Yes</v>
      </c>
      <c r="U53" s="22" t="str">
        <f aca="false">IF(B53="","",TEXT(YEAR(B53),"0"))</f>
        <v>2023</v>
      </c>
    </row>
    <row r="54" customFormat="false" ht="15" hidden="false" customHeight="false" outlineLevel="0" collapsed="false">
      <c r="A54" s="22" t="s">
        <v>184</v>
      </c>
      <c r="B54" s="23" t="n">
        <v>45066</v>
      </c>
      <c r="C54" s="24" t="n">
        <f aca="false">IF(B54="","",DATE(YEAR(B54),MONTH(B54),1))</f>
        <v>45047</v>
      </c>
      <c r="D54" s="22" t="s">
        <v>108</v>
      </c>
      <c r="E54" s="22" t="s">
        <v>37</v>
      </c>
      <c r="F54" s="22" t="s">
        <v>109</v>
      </c>
      <c r="G54" s="22" t="s">
        <v>39</v>
      </c>
      <c r="H54" s="22" t="s">
        <v>40</v>
      </c>
      <c r="I54" s="22" t="s">
        <v>41</v>
      </c>
      <c r="J54" s="22" t="s">
        <v>42</v>
      </c>
      <c r="K54" s="22" t="s">
        <v>130</v>
      </c>
      <c r="L54" s="25" t="n">
        <v>200</v>
      </c>
      <c r="M54" s="25" t="n">
        <v>820</v>
      </c>
      <c r="N54" s="26" t="n">
        <f aca="false">IF(L54="","",L54*M54)</f>
        <v>164000</v>
      </c>
      <c r="O54" s="25" t="n">
        <v>609</v>
      </c>
      <c r="P54" s="26" t="n">
        <f aca="false">IF(L54="","",N54-L54*O54)</f>
        <v>42200</v>
      </c>
      <c r="Q54" s="27" t="n">
        <v>25</v>
      </c>
      <c r="R54" s="27" t="n">
        <v>23</v>
      </c>
      <c r="S54" s="22" t="s">
        <v>44</v>
      </c>
      <c r="T54" s="22" t="str">
        <f aca="false">IF(R54="","",IF(R54&lt;=Q54,"Yes","No"))</f>
        <v>Yes</v>
      </c>
      <c r="U54" s="22" t="str">
        <f aca="false">IF(B54="","",TEXT(YEAR(B54),"0"))</f>
        <v>2023</v>
      </c>
    </row>
    <row r="55" customFormat="false" ht="15" hidden="false" customHeight="false" outlineLevel="0" collapsed="false">
      <c r="A55" s="22" t="s">
        <v>185</v>
      </c>
      <c r="B55" s="23" t="n">
        <v>45070</v>
      </c>
      <c r="C55" s="24" t="n">
        <f aca="false">IF(B55="","",DATE(YEAR(B55),MONTH(B55),1))</f>
        <v>45047</v>
      </c>
      <c r="D55" s="22" t="s">
        <v>103</v>
      </c>
      <c r="E55" s="22" t="s">
        <v>47</v>
      </c>
      <c r="F55" s="22" t="s">
        <v>104</v>
      </c>
      <c r="G55" s="22" t="s">
        <v>89</v>
      </c>
      <c r="H55" s="22" t="s">
        <v>90</v>
      </c>
      <c r="I55" s="22" t="s">
        <v>91</v>
      </c>
      <c r="J55" s="22" t="s">
        <v>66</v>
      </c>
      <c r="K55" s="22" t="s">
        <v>52</v>
      </c>
      <c r="L55" s="25" t="n">
        <v>100</v>
      </c>
      <c r="M55" s="25" t="n">
        <v>710</v>
      </c>
      <c r="N55" s="26" t="n">
        <f aca="false">IF(L55="","",L55*M55)</f>
        <v>71000</v>
      </c>
      <c r="O55" s="25" t="n">
        <v>520</v>
      </c>
      <c r="P55" s="26" t="n">
        <f aca="false">IF(L55="","",N55-L55*O55)</f>
        <v>19000</v>
      </c>
      <c r="Q55" s="27" t="n">
        <v>12</v>
      </c>
      <c r="R55" s="27" t="n">
        <v>10</v>
      </c>
      <c r="S55" s="22" t="s">
        <v>44</v>
      </c>
      <c r="T55" s="22" t="str">
        <f aca="false">IF(R55="","",IF(R55&lt;=Q55,"Yes","No"))</f>
        <v>Yes</v>
      </c>
      <c r="U55" s="22" t="str">
        <f aca="false">IF(B55="","",TEXT(YEAR(B55),"0"))</f>
        <v>2023</v>
      </c>
    </row>
    <row r="56" customFormat="false" ht="15" hidden="false" customHeight="false" outlineLevel="0" collapsed="false">
      <c r="A56" s="22" t="s">
        <v>186</v>
      </c>
      <c r="B56" s="23" t="n">
        <v>45072</v>
      </c>
      <c r="C56" s="24" t="n">
        <f aca="false">IF(B56="","",DATE(YEAR(B56),MONTH(B56),1))</f>
        <v>45047</v>
      </c>
      <c r="D56" s="22" t="s">
        <v>133</v>
      </c>
      <c r="E56" s="22" t="s">
        <v>47</v>
      </c>
      <c r="F56" s="22" t="s">
        <v>104</v>
      </c>
      <c r="G56" s="22" t="s">
        <v>82</v>
      </c>
      <c r="H56" s="22" t="s">
        <v>83</v>
      </c>
      <c r="I56" s="22" t="s">
        <v>41</v>
      </c>
      <c r="J56" s="22" t="s">
        <v>66</v>
      </c>
      <c r="K56" s="22" t="s">
        <v>145</v>
      </c>
      <c r="L56" s="25" t="n">
        <v>50</v>
      </c>
      <c r="M56" s="25" t="n">
        <v>650</v>
      </c>
      <c r="N56" s="26" t="n">
        <f aca="false">IF(L56="","",L56*M56)</f>
        <v>32500</v>
      </c>
      <c r="O56" s="25" t="n">
        <v>492</v>
      </c>
      <c r="P56" s="26" t="n">
        <f aca="false">IF(L56="","",N56-L56*O56)</f>
        <v>7900</v>
      </c>
      <c r="Q56" s="27" t="n">
        <v>15</v>
      </c>
      <c r="R56" s="27" t="n">
        <v>13</v>
      </c>
      <c r="S56" s="22" t="s">
        <v>44</v>
      </c>
      <c r="T56" s="22" t="str">
        <f aca="false">IF(R56="","",IF(R56&lt;=Q56,"Yes","No"))</f>
        <v>Yes</v>
      </c>
      <c r="U56" s="22" t="str">
        <f aca="false">IF(B56="","",TEXT(YEAR(B56),"0"))</f>
        <v>2023</v>
      </c>
    </row>
    <row r="57" customFormat="false" ht="15" hidden="false" customHeight="false" outlineLevel="0" collapsed="false">
      <c r="A57" s="22" t="s">
        <v>187</v>
      </c>
      <c r="B57" s="23" t="n">
        <v>45079</v>
      </c>
      <c r="C57" s="24" t="n">
        <f aca="false">IF(B57="","",DATE(YEAR(B57),MONTH(B57),1))</f>
        <v>45078</v>
      </c>
      <c r="D57" s="22" t="s">
        <v>108</v>
      </c>
      <c r="E57" s="22" t="s">
        <v>37</v>
      </c>
      <c r="F57" s="22" t="s">
        <v>109</v>
      </c>
      <c r="G57" s="22" t="s">
        <v>188</v>
      </c>
      <c r="H57" s="22" t="s">
        <v>189</v>
      </c>
      <c r="I57" s="22" t="s">
        <v>41</v>
      </c>
      <c r="J57" s="22" t="s">
        <v>42</v>
      </c>
      <c r="K57" s="22" t="s">
        <v>67</v>
      </c>
      <c r="L57" s="25" t="n">
        <v>100</v>
      </c>
      <c r="M57" s="25" t="n">
        <v>840</v>
      </c>
      <c r="N57" s="26" t="n">
        <f aca="false">IF(L57="","",L57*M57)</f>
        <v>84000</v>
      </c>
      <c r="O57" s="25" t="n">
        <v>627</v>
      </c>
      <c r="P57" s="26" t="n">
        <f aca="false">IF(L57="","",N57-L57*O57)</f>
        <v>21300</v>
      </c>
      <c r="Q57" s="27" t="n">
        <v>30</v>
      </c>
      <c r="R57" s="27" t="n">
        <v>30</v>
      </c>
      <c r="S57" s="22" t="s">
        <v>44</v>
      </c>
      <c r="T57" s="22" t="str">
        <f aca="false">IF(R57="","",IF(R57&lt;=Q57,"Yes","No"))</f>
        <v>Yes</v>
      </c>
      <c r="U57" s="22" t="str">
        <f aca="false">IF(B57="","",TEXT(YEAR(B57),"0"))</f>
        <v>2023</v>
      </c>
    </row>
    <row r="58" customFormat="false" ht="15" hidden="false" customHeight="false" outlineLevel="0" collapsed="false">
      <c r="A58" s="22" t="s">
        <v>190</v>
      </c>
      <c r="B58" s="23" t="n">
        <v>45080</v>
      </c>
      <c r="C58" s="24" t="n">
        <f aca="false">IF(B58="","",DATE(YEAR(B58),MONTH(B58),1))</f>
        <v>45078</v>
      </c>
      <c r="D58" s="22" t="s">
        <v>108</v>
      </c>
      <c r="E58" s="22" t="s">
        <v>37</v>
      </c>
      <c r="F58" s="22" t="s">
        <v>109</v>
      </c>
      <c r="G58" s="22" t="s">
        <v>56</v>
      </c>
      <c r="H58" s="22" t="s">
        <v>57</v>
      </c>
      <c r="I58" s="22" t="s">
        <v>58</v>
      </c>
      <c r="J58" s="22" t="s">
        <v>51</v>
      </c>
      <c r="K58" s="22" t="s">
        <v>67</v>
      </c>
      <c r="L58" s="25" t="n">
        <v>100</v>
      </c>
      <c r="M58" s="25" t="n">
        <v>760</v>
      </c>
      <c r="N58" s="26" t="n">
        <f aca="false">IF(L58="","",L58*M58)</f>
        <v>76000</v>
      </c>
      <c r="O58" s="25" t="n">
        <v>556</v>
      </c>
      <c r="P58" s="26" t="n">
        <f aca="false">IF(L58="","",N58-L58*O58)</f>
        <v>20400</v>
      </c>
      <c r="Q58" s="27" t="n">
        <v>21</v>
      </c>
      <c r="R58" s="27" t="n">
        <v>18</v>
      </c>
      <c r="S58" s="22" t="s">
        <v>44</v>
      </c>
      <c r="T58" s="22" t="str">
        <f aca="false">IF(R58="","",IF(R58&lt;=Q58,"Yes","No"))</f>
        <v>Yes</v>
      </c>
      <c r="U58" s="22" t="str">
        <f aca="false">IF(B58="","",TEXT(YEAR(B58),"0"))</f>
        <v>2023</v>
      </c>
    </row>
    <row r="59" customFormat="false" ht="15" hidden="false" customHeight="false" outlineLevel="0" collapsed="false">
      <c r="A59" s="22" t="s">
        <v>191</v>
      </c>
      <c r="B59" s="23" t="n">
        <v>45080</v>
      </c>
      <c r="C59" s="24" t="n">
        <f aca="false">IF(B59="","",DATE(YEAR(B59),MONTH(B59),1))</f>
        <v>45078</v>
      </c>
      <c r="D59" s="22" t="s">
        <v>36</v>
      </c>
      <c r="E59" s="22" t="s">
        <v>37</v>
      </c>
      <c r="F59" s="22" t="s">
        <v>38</v>
      </c>
      <c r="G59" s="22" t="s">
        <v>116</v>
      </c>
      <c r="H59" s="22" t="s">
        <v>117</v>
      </c>
      <c r="I59" s="22" t="s">
        <v>41</v>
      </c>
      <c r="J59" s="22" t="s">
        <v>80</v>
      </c>
      <c r="K59" s="22" t="s">
        <v>59</v>
      </c>
      <c r="L59" s="25" t="n">
        <v>50</v>
      </c>
      <c r="M59" s="25" t="n">
        <v>1230</v>
      </c>
      <c r="N59" s="26" t="n">
        <f aca="false">IF(L59="","",L59*M59)</f>
        <v>61500</v>
      </c>
      <c r="O59" s="25" t="n">
        <v>861</v>
      </c>
      <c r="P59" s="26" t="n">
        <f aca="false">IF(L59="","",N59-L59*O59)</f>
        <v>18450</v>
      </c>
      <c r="Q59" s="27" t="n">
        <v>21</v>
      </c>
      <c r="R59" s="27" t="n">
        <v>18</v>
      </c>
      <c r="S59" s="22" t="s">
        <v>44</v>
      </c>
      <c r="T59" s="22" t="str">
        <f aca="false">IF(R59="","",IF(R59&lt;=Q59,"Yes","No"))</f>
        <v>Yes</v>
      </c>
      <c r="U59" s="22" t="str">
        <f aca="false">IF(B59="","",TEXT(YEAR(B59),"0"))</f>
        <v>2023</v>
      </c>
    </row>
    <row r="60" customFormat="false" ht="15" hidden="false" customHeight="false" outlineLevel="0" collapsed="false">
      <c r="A60" s="22" t="s">
        <v>192</v>
      </c>
      <c r="B60" s="23" t="n">
        <v>45084</v>
      </c>
      <c r="C60" s="24" t="n">
        <f aca="false">IF(B60="","",DATE(YEAR(B60),MONTH(B60),1))</f>
        <v>45078</v>
      </c>
      <c r="D60" s="22" t="s">
        <v>71</v>
      </c>
      <c r="E60" s="22" t="s">
        <v>37</v>
      </c>
      <c r="F60" s="22" t="s">
        <v>72</v>
      </c>
      <c r="G60" s="22" t="s">
        <v>155</v>
      </c>
      <c r="H60" s="22" t="s">
        <v>156</v>
      </c>
      <c r="I60" s="22" t="s">
        <v>157</v>
      </c>
      <c r="J60" s="22" t="s">
        <v>122</v>
      </c>
      <c r="K60" s="22" t="s">
        <v>145</v>
      </c>
      <c r="L60" s="25" t="n">
        <v>100</v>
      </c>
      <c r="M60" s="25" t="n">
        <v>1110</v>
      </c>
      <c r="N60" s="26" t="n">
        <f aca="false">IF(L60="","",L60*M60)</f>
        <v>111000</v>
      </c>
      <c r="O60" s="25" t="n">
        <v>784</v>
      </c>
      <c r="P60" s="26" t="n">
        <f aca="false">IF(L60="","",N60-L60*O60)</f>
        <v>32600</v>
      </c>
      <c r="Q60" s="27" t="n">
        <v>30</v>
      </c>
      <c r="R60" s="27" t="n">
        <v>29</v>
      </c>
      <c r="S60" s="22" t="s">
        <v>44</v>
      </c>
      <c r="T60" s="22" t="str">
        <f aca="false">IF(R60="","",IF(R60&lt;=Q60,"Yes","No"))</f>
        <v>Yes</v>
      </c>
      <c r="U60" s="22" t="str">
        <f aca="false">IF(B60="","",TEXT(YEAR(B60),"0"))</f>
        <v>2023</v>
      </c>
    </row>
    <row r="61" customFormat="false" ht="15" hidden="false" customHeight="false" outlineLevel="0" collapsed="false">
      <c r="A61" s="22" t="s">
        <v>193</v>
      </c>
      <c r="B61" s="23" t="n">
        <v>45087</v>
      </c>
      <c r="C61" s="24" t="n">
        <f aca="false">IF(B61="","",DATE(YEAR(B61),MONTH(B61),1))</f>
        <v>45078</v>
      </c>
      <c r="D61" s="22" t="s">
        <v>103</v>
      </c>
      <c r="E61" s="22" t="s">
        <v>47</v>
      </c>
      <c r="F61" s="22" t="s">
        <v>104</v>
      </c>
      <c r="G61" s="22" t="s">
        <v>194</v>
      </c>
      <c r="H61" s="22" t="s">
        <v>195</v>
      </c>
      <c r="I61" s="22" t="s">
        <v>41</v>
      </c>
      <c r="J61" s="22" t="s">
        <v>122</v>
      </c>
      <c r="K61" s="22" t="s">
        <v>43</v>
      </c>
      <c r="L61" s="25" t="n">
        <v>500</v>
      </c>
      <c r="M61" s="25" t="n">
        <v>930</v>
      </c>
      <c r="N61" s="26" t="n">
        <f aca="false">IF(L61="","",L61*M61)</f>
        <v>465000</v>
      </c>
      <c r="O61" s="25" t="n">
        <v>715</v>
      </c>
      <c r="P61" s="26" t="n">
        <f aca="false">IF(L61="","",N61-L61*O61)</f>
        <v>107500</v>
      </c>
      <c r="Q61" s="27" t="n">
        <v>15</v>
      </c>
      <c r="R61" s="27" t="n">
        <v>12</v>
      </c>
      <c r="S61" s="22" t="s">
        <v>44</v>
      </c>
      <c r="T61" s="22" t="str">
        <f aca="false">IF(R61="","",IF(R61&lt;=Q61,"Yes","No"))</f>
        <v>Yes</v>
      </c>
      <c r="U61" s="22" t="str">
        <f aca="false">IF(B61="","",TEXT(YEAR(B61),"0"))</f>
        <v>2023</v>
      </c>
    </row>
    <row r="62" customFormat="false" ht="15" hidden="false" customHeight="false" outlineLevel="0" collapsed="false">
      <c r="A62" s="22" t="s">
        <v>196</v>
      </c>
      <c r="B62" s="23" t="n">
        <v>45094</v>
      </c>
      <c r="C62" s="24" t="n">
        <f aca="false">IF(B62="","",DATE(YEAR(B62),MONTH(B62),1))</f>
        <v>45078</v>
      </c>
      <c r="D62" s="22" t="s">
        <v>61</v>
      </c>
      <c r="E62" s="22" t="s">
        <v>37</v>
      </c>
      <c r="F62" s="22" t="s">
        <v>62</v>
      </c>
      <c r="G62" s="22" t="s">
        <v>73</v>
      </c>
      <c r="H62" s="22" t="s">
        <v>74</v>
      </c>
      <c r="I62" s="22" t="s">
        <v>75</v>
      </c>
      <c r="J62" s="22" t="s">
        <v>51</v>
      </c>
      <c r="K62" s="22" t="s">
        <v>52</v>
      </c>
      <c r="L62" s="25" t="n">
        <v>200</v>
      </c>
      <c r="M62" s="25" t="n">
        <v>775</v>
      </c>
      <c r="N62" s="26" t="n">
        <f aca="false">IF(L62="","",L62*M62)</f>
        <v>155000</v>
      </c>
      <c r="O62" s="25" t="n">
        <v>597</v>
      </c>
      <c r="P62" s="26" t="n">
        <f aca="false">IF(L62="","",N62-L62*O62)</f>
        <v>35600</v>
      </c>
      <c r="Q62" s="27" t="n">
        <v>21</v>
      </c>
      <c r="R62" s="27" t="n">
        <v>16</v>
      </c>
      <c r="S62" s="22" t="s">
        <v>44</v>
      </c>
      <c r="T62" s="22" t="str">
        <f aca="false">IF(R62="","",IF(R62&lt;=Q62,"Yes","No"))</f>
        <v>Yes</v>
      </c>
      <c r="U62" s="22" t="str">
        <f aca="false">IF(B62="","",TEXT(YEAR(B62),"0"))</f>
        <v>2023</v>
      </c>
    </row>
    <row r="63" customFormat="false" ht="15" hidden="false" customHeight="false" outlineLevel="0" collapsed="false">
      <c r="A63" s="22" t="s">
        <v>197</v>
      </c>
      <c r="B63" s="23" t="n">
        <v>45097</v>
      </c>
      <c r="C63" s="24" t="n">
        <f aca="false">IF(B63="","",DATE(YEAR(B63),MONTH(B63),1))</f>
        <v>45078</v>
      </c>
      <c r="D63" s="22" t="s">
        <v>46</v>
      </c>
      <c r="E63" s="22" t="s">
        <v>47</v>
      </c>
      <c r="F63" s="22" t="s">
        <v>48</v>
      </c>
      <c r="G63" s="22" t="s">
        <v>89</v>
      </c>
      <c r="H63" s="22" t="s">
        <v>90</v>
      </c>
      <c r="I63" s="22" t="s">
        <v>91</v>
      </c>
      <c r="J63" s="22" t="s">
        <v>66</v>
      </c>
      <c r="K63" s="22" t="s">
        <v>52</v>
      </c>
      <c r="L63" s="25" t="n">
        <v>50</v>
      </c>
      <c r="M63" s="25" t="n">
        <v>710</v>
      </c>
      <c r="N63" s="26" t="n">
        <f aca="false">IF(L63="","",L63*M63)</f>
        <v>35500</v>
      </c>
      <c r="O63" s="25" t="n">
        <v>517</v>
      </c>
      <c r="P63" s="26" t="n">
        <f aca="false">IF(L63="","",N63-L63*O63)</f>
        <v>9650</v>
      </c>
      <c r="Q63" s="27" t="n">
        <v>12</v>
      </c>
      <c r="R63" s="27" t="n">
        <v>9</v>
      </c>
      <c r="S63" s="22" t="s">
        <v>44</v>
      </c>
      <c r="T63" s="22" t="str">
        <f aca="false">IF(R63="","",IF(R63&lt;=Q63,"Yes","No"))</f>
        <v>Yes</v>
      </c>
      <c r="U63" s="22" t="str">
        <f aca="false">IF(B63="","",TEXT(YEAR(B63),"0"))</f>
        <v>2023</v>
      </c>
    </row>
    <row r="64" customFormat="false" ht="15" hidden="false" customHeight="false" outlineLevel="0" collapsed="false">
      <c r="A64" s="22" t="s">
        <v>198</v>
      </c>
      <c r="B64" s="23" t="n">
        <v>45100</v>
      </c>
      <c r="C64" s="24" t="n">
        <f aca="false">IF(B64="","",DATE(YEAR(B64),MONTH(B64),1))</f>
        <v>45078</v>
      </c>
      <c r="D64" s="22" t="s">
        <v>46</v>
      </c>
      <c r="E64" s="22" t="s">
        <v>47</v>
      </c>
      <c r="F64" s="22" t="s">
        <v>48</v>
      </c>
      <c r="G64" s="22" t="s">
        <v>199</v>
      </c>
      <c r="H64" s="22" t="s">
        <v>200</v>
      </c>
      <c r="I64" s="22" t="s">
        <v>41</v>
      </c>
      <c r="J64" s="22" t="s">
        <v>80</v>
      </c>
      <c r="K64" s="22" t="s">
        <v>76</v>
      </c>
      <c r="L64" s="25" t="n">
        <v>100</v>
      </c>
      <c r="M64" s="25" t="n">
        <v>1285</v>
      </c>
      <c r="N64" s="26" t="n">
        <f aca="false">IF(L64="","",L64*M64)</f>
        <v>128500</v>
      </c>
      <c r="O64" s="25" t="n">
        <v>872</v>
      </c>
      <c r="P64" s="26" t="n">
        <f aca="false">IF(L64="","",N64-L64*O64)</f>
        <v>41300</v>
      </c>
      <c r="Q64" s="27" t="n">
        <v>15</v>
      </c>
      <c r="R64" s="27" t="n">
        <v>17</v>
      </c>
      <c r="S64" s="22" t="s">
        <v>44</v>
      </c>
      <c r="T64" s="22" t="str">
        <f aca="false">IF(R64="","",IF(R64&lt;=Q64,"Yes","No"))</f>
        <v>No</v>
      </c>
      <c r="U64" s="22" t="str">
        <f aca="false">IF(B64="","",TEXT(YEAR(B64),"0"))</f>
        <v>2023</v>
      </c>
    </row>
    <row r="65" customFormat="false" ht="15" hidden="false" customHeight="false" outlineLevel="0" collapsed="false">
      <c r="A65" s="22" t="s">
        <v>201</v>
      </c>
      <c r="B65" s="23" t="n">
        <v>45100</v>
      </c>
      <c r="C65" s="24" t="n">
        <f aca="false">IF(B65="","",DATE(YEAR(B65),MONTH(B65),1))</f>
        <v>45078</v>
      </c>
      <c r="D65" s="22" t="s">
        <v>36</v>
      </c>
      <c r="E65" s="22" t="s">
        <v>37</v>
      </c>
      <c r="F65" s="22" t="s">
        <v>38</v>
      </c>
      <c r="G65" s="22" t="s">
        <v>167</v>
      </c>
      <c r="H65" s="22" t="s">
        <v>168</v>
      </c>
      <c r="I65" s="22" t="s">
        <v>41</v>
      </c>
      <c r="J65" s="22" t="s">
        <v>150</v>
      </c>
      <c r="K65" s="22" t="s">
        <v>67</v>
      </c>
      <c r="L65" s="25" t="n">
        <v>200</v>
      </c>
      <c r="M65" s="25" t="n">
        <v>985</v>
      </c>
      <c r="N65" s="26" t="n">
        <f aca="false">IF(L65="","",L65*M65)</f>
        <v>197000</v>
      </c>
      <c r="O65" s="25" t="n">
        <v>715</v>
      </c>
      <c r="P65" s="26" t="n">
        <f aca="false">IF(L65="","",N65-L65*O65)</f>
        <v>54000</v>
      </c>
      <c r="Q65" s="27" t="n">
        <v>25</v>
      </c>
      <c r="R65" s="27" t="n">
        <v>20</v>
      </c>
      <c r="S65" s="22" t="s">
        <v>44</v>
      </c>
      <c r="T65" s="22" t="str">
        <f aca="false">IF(R65="","",IF(R65&lt;=Q65,"Yes","No"))</f>
        <v>Yes</v>
      </c>
      <c r="U65" s="22" t="str">
        <f aca="false">IF(B65="","",TEXT(YEAR(B65),"0"))</f>
        <v>2023</v>
      </c>
    </row>
    <row r="66" customFormat="false" ht="15" hidden="false" customHeight="false" outlineLevel="0" collapsed="false">
      <c r="A66" s="22" t="s">
        <v>202</v>
      </c>
      <c r="B66" s="23" t="n">
        <v>45111</v>
      </c>
      <c r="C66" s="24" t="n">
        <f aca="false">IF(B66="","",DATE(YEAR(B66),MONTH(B66),1))</f>
        <v>45108</v>
      </c>
      <c r="D66" s="22" t="s">
        <v>103</v>
      </c>
      <c r="E66" s="22" t="s">
        <v>47</v>
      </c>
      <c r="F66" s="22" t="s">
        <v>104</v>
      </c>
      <c r="G66" s="22" t="s">
        <v>119</v>
      </c>
      <c r="H66" s="22" t="s">
        <v>120</v>
      </c>
      <c r="I66" s="22" t="s">
        <v>121</v>
      </c>
      <c r="J66" s="22" t="s">
        <v>122</v>
      </c>
      <c r="K66" s="22" t="s">
        <v>43</v>
      </c>
      <c r="L66" s="25" t="n">
        <v>25</v>
      </c>
      <c r="M66" s="25" t="n">
        <v>1185</v>
      </c>
      <c r="N66" s="26" t="n">
        <f aca="false">IF(L66="","",L66*M66)</f>
        <v>29625</v>
      </c>
      <c r="O66" s="25" t="n">
        <v>792</v>
      </c>
      <c r="P66" s="26" t="n">
        <f aca="false">IF(L66="","",N66-L66*O66)</f>
        <v>9825</v>
      </c>
      <c r="Q66" s="27" t="n">
        <v>15</v>
      </c>
      <c r="R66" s="27" t="n">
        <v>14</v>
      </c>
      <c r="S66" s="22" t="s">
        <v>44</v>
      </c>
      <c r="T66" s="22" t="str">
        <f aca="false">IF(R66="","",IF(R66&lt;=Q66,"Yes","No"))</f>
        <v>Yes</v>
      </c>
      <c r="U66" s="22" t="str">
        <f aca="false">IF(B66="","",TEXT(YEAR(B66),"0"))</f>
        <v>2023</v>
      </c>
    </row>
    <row r="67" customFormat="false" ht="15" hidden="false" customHeight="false" outlineLevel="0" collapsed="false">
      <c r="A67" s="22" t="s">
        <v>203</v>
      </c>
      <c r="B67" s="23" t="n">
        <v>45113</v>
      </c>
      <c r="C67" s="24" t="n">
        <f aca="false">IF(B67="","",DATE(YEAR(B67),MONTH(B67),1))</f>
        <v>45108</v>
      </c>
      <c r="D67" s="22" t="s">
        <v>96</v>
      </c>
      <c r="E67" s="22" t="s">
        <v>47</v>
      </c>
      <c r="F67" s="22" t="s">
        <v>97</v>
      </c>
      <c r="G67" s="22" t="s">
        <v>167</v>
      </c>
      <c r="H67" s="22" t="s">
        <v>168</v>
      </c>
      <c r="I67" s="22" t="s">
        <v>41</v>
      </c>
      <c r="J67" s="22" t="s">
        <v>150</v>
      </c>
      <c r="K67" s="22" t="s">
        <v>130</v>
      </c>
      <c r="L67" s="25" t="n">
        <v>100</v>
      </c>
      <c r="M67" s="25" t="n">
        <v>1060</v>
      </c>
      <c r="N67" s="26" t="n">
        <f aca="false">IF(L67="","",L67*M67)</f>
        <v>106000</v>
      </c>
      <c r="O67" s="25" t="n">
        <v>733</v>
      </c>
      <c r="P67" s="26" t="n">
        <f aca="false">IF(L67="","",N67-L67*O67)</f>
        <v>32700</v>
      </c>
      <c r="Q67" s="27" t="n">
        <v>10</v>
      </c>
      <c r="R67" s="27" t="n">
        <v>5</v>
      </c>
      <c r="S67" s="22" t="s">
        <v>44</v>
      </c>
      <c r="T67" s="22" t="str">
        <f aca="false">IF(R67="","",IF(R67&lt;=Q67,"Yes","No"))</f>
        <v>Yes</v>
      </c>
      <c r="U67" s="22" t="str">
        <f aca="false">IF(B67="","",TEXT(YEAR(B67),"0"))</f>
        <v>2023</v>
      </c>
    </row>
    <row r="68" customFormat="false" ht="15" hidden="false" customHeight="false" outlineLevel="0" collapsed="false">
      <c r="A68" s="22" t="s">
        <v>204</v>
      </c>
      <c r="B68" s="23" t="n">
        <v>45115</v>
      </c>
      <c r="C68" s="24" t="n">
        <f aca="false">IF(B68="","",DATE(YEAR(B68),MONTH(B68),1))</f>
        <v>45108</v>
      </c>
      <c r="D68" s="22" t="s">
        <v>103</v>
      </c>
      <c r="E68" s="22" t="s">
        <v>47</v>
      </c>
      <c r="F68" s="22" t="s">
        <v>104</v>
      </c>
      <c r="G68" s="22" t="s">
        <v>171</v>
      </c>
      <c r="H68" s="22" t="s">
        <v>172</v>
      </c>
      <c r="I68" s="22" t="s">
        <v>173</v>
      </c>
      <c r="J68" s="22" t="s">
        <v>113</v>
      </c>
      <c r="K68" s="22" t="s">
        <v>67</v>
      </c>
      <c r="L68" s="25" t="n">
        <v>50</v>
      </c>
      <c r="M68" s="25" t="n">
        <v>965</v>
      </c>
      <c r="N68" s="26" t="n">
        <f aca="false">IF(L68="","",L68*M68)</f>
        <v>48250</v>
      </c>
      <c r="O68" s="25" t="n">
        <v>677</v>
      </c>
      <c r="P68" s="26" t="n">
        <f aca="false">IF(L68="","",N68-L68*O68)</f>
        <v>14400</v>
      </c>
      <c r="Q68" s="27" t="n">
        <v>10</v>
      </c>
      <c r="R68" s="27" t="n">
        <v>12</v>
      </c>
      <c r="S68" s="22" t="s">
        <v>44</v>
      </c>
      <c r="T68" s="22" t="str">
        <f aca="false">IF(R68="","",IF(R68&lt;=Q68,"Yes","No"))</f>
        <v>No</v>
      </c>
      <c r="U68" s="22" t="str">
        <f aca="false">IF(B68="","",TEXT(YEAR(B68),"0"))</f>
        <v>2023</v>
      </c>
    </row>
    <row r="69" customFormat="false" ht="15" hidden="false" customHeight="false" outlineLevel="0" collapsed="false">
      <c r="A69" s="22" t="s">
        <v>205</v>
      </c>
      <c r="B69" s="23" t="n">
        <v>45124</v>
      </c>
      <c r="C69" s="24" t="n">
        <f aca="false">IF(B69="","",DATE(YEAR(B69),MONTH(B69),1))</f>
        <v>45108</v>
      </c>
      <c r="D69" s="22" t="s">
        <v>46</v>
      </c>
      <c r="E69" s="22" t="s">
        <v>47</v>
      </c>
      <c r="F69" s="22" t="s">
        <v>48</v>
      </c>
      <c r="G69" s="22" t="s">
        <v>171</v>
      </c>
      <c r="H69" s="22" t="s">
        <v>172</v>
      </c>
      <c r="I69" s="22" t="s">
        <v>173</v>
      </c>
      <c r="J69" s="22" t="s">
        <v>113</v>
      </c>
      <c r="K69" s="22" t="s">
        <v>43</v>
      </c>
      <c r="L69" s="25" t="n">
        <v>200</v>
      </c>
      <c r="M69" s="25" t="n">
        <v>950</v>
      </c>
      <c r="N69" s="26" t="n">
        <f aca="false">IF(L69="","",L69*M69)</f>
        <v>190000</v>
      </c>
      <c r="O69" s="25" t="n">
        <v>674</v>
      </c>
      <c r="P69" s="26" t="n">
        <f aca="false">IF(L69="","",N69-L69*O69)</f>
        <v>55200</v>
      </c>
      <c r="Q69" s="27" t="n">
        <v>10</v>
      </c>
      <c r="R69" s="27" t="n">
        <v>11</v>
      </c>
      <c r="S69" s="22" t="s">
        <v>44</v>
      </c>
      <c r="T69" s="22" t="str">
        <f aca="false">IF(R69="","",IF(R69&lt;=Q69,"Yes","No"))</f>
        <v>No</v>
      </c>
      <c r="U69" s="22" t="str">
        <f aca="false">IF(B69="","",TEXT(YEAR(B69),"0"))</f>
        <v>2023</v>
      </c>
    </row>
    <row r="70" customFormat="false" ht="15" hidden="false" customHeight="false" outlineLevel="0" collapsed="false">
      <c r="A70" s="22" t="s">
        <v>206</v>
      </c>
      <c r="B70" s="23" t="n">
        <v>45126</v>
      </c>
      <c r="C70" s="24" t="n">
        <f aca="false">IF(B70="","",DATE(YEAR(B70),MONTH(B70),1))</f>
        <v>45108</v>
      </c>
      <c r="D70" s="22" t="s">
        <v>71</v>
      </c>
      <c r="E70" s="22" t="s">
        <v>37</v>
      </c>
      <c r="F70" s="22" t="s">
        <v>72</v>
      </c>
      <c r="G70" s="22" t="s">
        <v>134</v>
      </c>
      <c r="H70" s="22" t="s">
        <v>135</v>
      </c>
      <c r="I70" s="22" t="s">
        <v>136</v>
      </c>
      <c r="J70" s="22" t="s">
        <v>66</v>
      </c>
      <c r="K70" s="22" t="s">
        <v>145</v>
      </c>
      <c r="L70" s="25" t="n">
        <v>50</v>
      </c>
      <c r="M70" s="25" t="n">
        <v>715</v>
      </c>
      <c r="N70" s="26" t="n">
        <f aca="false">IF(L70="","",L70*M70)</f>
        <v>35750</v>
      </c>
      <c r="O70" s="25" t="n">
        <v>521</v>
      </c>
      <c r="P70" s="26" t="n">
        <f aca="false">IF(L70="","",N70-L70*O70)</f>
        <v>9700</v>
      </c>
      <c r="Q70" s="27" t="n">
        <v>25</v>
      </c>
      <c r="R70" s="27" t="n">
        <v>19</v>
      </c>
      <c r="S70" s="22" t="s">
        <v>44</v>
      </c>
      <c r="T70" s="22" t="str">
        <f aca="false">IF(R70="","",IF(R70&lt;=Q70,"Yes","No"))</f>
        <v>Yes</v>
      </c>
      <c r="U70" s="22" t="str">
        <f aca="false">IF(B70="","",TEXT(YEAR(B70),"0"))</f>
        <v>2023</v>
      </c>
    </row>
    <row r="71" customFormat="false" ht="15" hidden="false" customHeight="false" outlineLevel="0" collapsed="false">
      <c r="A71" s="22" t="s">
        <v>207</v>
      </c>
      <c r="B71" s="23" t="n">
        <v>45132</v>
      </c>
      <c r="C71" s="24" t="n">
        <f aca="false">IF(B71="","",DATE(YEAR(B71),MONTH(B71),1))</f>
        <v>45108</v>
      </c>
      <c r="D71" s="22" t="s">
        <v>69</v>
      </c>
      <c r="E71" s="22" t="s">
        <v>37</v>
      </c>
      <c r="F71" s="22" t="s">
        <v>62</v>
      </c>
      <c r="G71" s="22" t="s">
        <v>199</v>
      </c>
      <c r="H71" s="22" t="s">
        <v>200</v>
      </c>
      <c r="I71" s="22" t="s">
        <v>41</v>
      </c>
      <c r="J71" s="22" t="s">
        <v>80</v>
      </c>
      <c r="K71" s="22" t="s">
        <v>43</v>
      </c>
      <c r="L71" s="25" t="n">
        <v>100</v>
      </c>
      <c r="M71" s="25" t="n">
        <v>1300</v>
      </c>
      <c r="N71" s="26" t="n">
        <f aca="false">IF(L71="","",L71*M71)</f>
        <v>130000</v>
      </c>
      <c r="O71" s="25" t="n">
        <v>880</v>
      </c>
      <c r="P71" s="26" t="n">
        <f aca="false">IF(L71="","",N71-L71*O71)</f>
        <v>42000</v>
      </c>
      <c r="Q71" s="27" t="n">
        <v>30</v>
      </c>
      <c r="R71" s="27" t="n">
        <v>26</v>
      </c>
      <c r="S71" s="22" t="s">
        <v>44</v>
      </c>
      <c r="T71" s="22" t="str">
        <f aca="false">IF(R71="","",IF(R71&lt;=Q71,"Yes","No"))</f>
        <v>Yes</v>
      </c>
      <c r="U71" s="22" t="str">
        <f aca="false">IF(B71="","",TEXT(YEAR(B71),"0"))</f>
        <v>2023</v>
      </c>
    </row>
    <row r="72" customFormat="false" ht="15" hidden="false" customHeight="false" outlineLevel="0" collapsed="false">
      <c r="A72" s="22" t="s">
        <v>208</v>
      </c>
      <c r="B72" s="23" t="n">
        <v>45133</v>
      </c>
      <c r="C72" s="24" t="n">
        <f aca="false">IF(B72="","",DATE(YEAR(B72),MONTH(B72),1))</f>
        <v>45108</v>
      </c>
      <c r="D72" s="22" t="s">
        <v>36</v>
      </c>
      <c r="E72" s="22" t="s">
        <v>37</v>
      </c>
      <c r="F72" s="22" t="s">
        <v>38</v>
      </c>
      <c r="G72" s="22" t="s">
        <v>119</v>
      </c>
      <c r="H72" s="22" t="s">
        <v>120</v>
      </c>
      <c r="I72" s="22" t="s">
        <v>121</v>
      </c>
      <c r="J72" s="22" t="s">
        <v>122</v>
      </c>
      <c r="K72" s="22" t="s">
        <v>43</v>
      </c>
      <c r="L72" s="25" t="n">
        <v>100</v>
      </c>
      <c r="M72" s="25" t="n">
        <v>1120</v>
      </c>
      <c r="N72" s="26" t="n">
        <f aca="false">IF(L72="","",L72*M72)</f>
        <v>112000</v>
      </c>
      <c r="O72" s="25" t="n">
        <v>812</v>
      </c>
      <c r="P72" s="26" t="n">
        <f aca="false">IF(L72="","",N72-L72*O72)</f>
        <v>30800</v>
      </c>
      <c r="Q72" s="27" t="n">
        <v>25</v>
      </c>
      <c r="R72" s="27" t="n">
        <v>21</v>
      </c>
      <c r="S72" s="22" t="s">
        <v>44</v>
      </c>
      <c r="T72" s="22" t="str">
        <f aca="false">IF(R72="","",IF(R72&lt;=Q72,"Yes","No"))</f>
        <v>Yes</v>
      </c>
      <c r="U72" s="22" t="str">
        <f aca="false">IF(B72="","",TEXT(YEAR(B72),"0"))</f>
        <v>2023</v>
      </c>
    </row>
    <row r="73" customFormat="false" ht="15" hidden="false" customHeight="false" outlineLevel="0" collapsed="false">
      <c r="A73" s="22" t="s">
        <v>209</v>
      </c>
      <c r="B73" s="23" t="n">
        <v>45136</v>
      </c>
      <c r="C73" s="24" t="n">
        <f aca="false">IF(B73="","",DATE(YEAR(B73),MONTH(B73),1))</f>
        <v>45108</v>
      </c>
      <c r="D73" s="22" t="s">
        <v>69</v>
      </c>
      <c r="E73" s="22" t="s">
        <v>37</v>
      </c>
      <c r="F73" s="22" t="s">
        <v>62</v>
      </c>
      <c r="G73" s="22" t="s">
        <v>49</v>
      </c>
      <c r="H73" s="22" t="s">
        <v>50</v>
      </c>
      <c r="I73" s="22" t="s">
        <v>41</v>
      </c>
      <c r="J73" s="22" t="s">
        <v>51</v>
      </c>
      <c r="K73" s="22" t="s">
        <v>43</v>
      </c>
      <c r="L73" s="25" t="n">
        <v>25</v>
      </c>
      <c r="M73" s="25" t="n">
        <v>795</v>
      </c>
      <c r="N73" s="26" t="n">
        <f aca="false">IF(L73="","",L73*M73)</f>
        <v>19875</v>
      </c>
      <c r="O73" s="25" t="n">
        <v>574</v>
      </c>
      <c r="P73" s="26" t="n">
        <f aca="false">IF(L73="","",N73-L73*O73)</f>
        <v>5525</v>
      </c>
      <c r="Q73" s="27" t="n">
        <v>21</v>
      </c>
      <c r="R73" s="27" t="n">
        <v>20</v>
      </c>
      <c r="S73" s="22" t="s">
        <v>44</v>
      </c>
      <c r="T73" s="22" t="str">
        <f aca="false">IF(R73="","",IF(R73&lt;=Q73,"Yes","No"))</f>
        <v>Yes</v>
      </c>
      <c r="U73" s="22" t="str">
        <f aca="false">IF(B73="","",TEXT(YEAR(B73),"0"))</f>
        <v>2023</v>
      </c>
    </row>
    <row r="74" customFormat="false" ht="15" hidden="false" customHeight="false" outlineLevel="0" collapsed="false">
      <c r="A74" s="22" t="s">
        <v>210</v>
      </c>
      <c r="B74" s="23" t="n">
        <v>45145</v>
      </c>
      <c r="C74" s="24" t="n">
        <f aca="false">IF(B74="","",DATE(YEAR(B74),MONTH(B74),1))</f>
        <v>45139</v>
      </c>
      <c r="D74" s="22" t="s">
        <v>61</v>
      </c>
      <c r="E74" s="22" t="s">
        <v>37</v>
      </c>
      <c r="F74" s="22" t="s">
        <v>62</v>
      </c>
      <c r="G74" s="22" t="s">
        <v>211</v>
      </c>
      <c r="H74" s="22" t="s">
        <v>212</v>
      </c>
      <c r="I74" s="22" t="s">
        <v>213</v>
      </c>
      <c r="J74" s="22" t="s">
        <v>51</v>
      </c>
      <c r="K74" s="22" t="s">
        <v>67</v>
      </c>
      <c r="L74" s="25" t="n">
        <v>100</v>
      </c>
      <c r="M74" s="25" t="n">
        <v>790</v>
      </c>
      <c r="N74" s="26" t="n">
        <f aca="false">IF(L74="","",L74*M74)</f>
        <v>79000</v>
      </c>
      <c r="O74" s="25" t="n">
        <v>565</v>
      </c>
      <c r="P74" s="26" t="n">
        <f aca="false">IF(L74="","",N74-L74*O74)</f>
        <v>22500</v>
      </c>
      <c r="Q74" s="27" t="n">
        <v>30</v>
      </c>
      <c r="R74" s="27" t="n">
        <v>31</v>
      </c>
      <c r="S74" s="22" t="s">
        <v>44</v>
      </c>
      <c r="T74" s="22" t="str">
        <f aca="false">IF(R74="","",IF(R74&lt;=Q74,"Yes","No"))</f>
        <v>No</v>
      </c>
      <c r="U74" s="22" t="str">
        <f aca="false">IF(B74="","",TEXT(YEAR(B74),"0"))</f>
        <v>2023</v>
      </c>
    </row>
    <row r="75" customFormat="false" ht="15" hidden="false" customHeight="false" outlineLevel="0" collapsed="false">
      <c r="A75" s="22" t="s">
        <v>214</v>
      </c>
      <c r="B75" s="23" t="n">
        <v>45146</v>
      </c>
      <c r="C75" s="24" t="n">
        <f aca="false">IF(B75="","",DATE(YEAR(B75),MONTH(B75),1))</f>
        <v>45139</v>
      </c>
      <c r="D75" s="22" t="s">
        <v>103</v>
      </c>
      <c r="E75" s="22" t="s">
        <v>47</v>
      </c>
      <c r="F75" s="22" t="s">
        <v>104</v>
      </c>
      <c r="G75" s="22" t="s">
        <v>181</v>
      </c>
      <c r="H75" s="22" t="s">
        <v>182</v>
      </c>
      <c r="I75" s="22" t="s">
        <v>183</v>
      </c>
      <c r="J75" s="22" t="s">
        <v>122</v>
      </c>
      <c r="K75" s="22" t="s">
        <v>43</v>
      </c>
      <c r="L75" s="25" t="n">
        <v>50</v>
      </c>
      <c r="M75" s="25" t="n">
        <v>1005</v>
      </c>
      <c r="N75" s="26" t="n">
        <f aca="false">IF(L75="","",L75*M75)</f>
        <v>50250</v>
      </c>
      <c r="O75" s="25" t="n">
        <v>698</v>
      </c>
      <c r="P75" s="26" t="n">
        <f aca="false">IF(L75="","",N75-L75*O75)</f>
        <v>15350</v>
      </c>
      <c r="Q75" s="27" t="n">
        <v>10</v>
      </c>
      <c r="R75" s="27" t="n">
        <v>9</v>
      </c>
      <c r="S75" s="22" t="s">
        <v>44</v>
      </c>
      <c r="T75" s="22" t="str">
        <f aca="false">IF(R75="","",IF(R75&lt;=Q75,"Yes","No"))</f>
        <v>Yes</v>
      </c>
      <c r="U75" s="22" t="str">
        <f aca="false">IF(B75="","",TEXT(YEAR(B75),"0"))</f>
        <v>2023</v>
      </c>
    </row>
    <row r="76" customFormat="false" ht="15" hidden="false" customHeight="false" outlineLevel="0" collapsed="false">
      <c r="A76" s="22" t="s">
        <v>215</v>
      </c>
      <c r="B76" s="23" t="n">
        <v>45149</v>
      </c>
      <c r="C76" s="24" t="n">
        <f aca="false">IF(B76="","",DATE(YEAR(B76),MONTH(B76),1))</f>
        <v>45139</v>
      </c>
      <c r="D76" s="22" t="s">
        <v>54</v>
      </c>
      <c r="E76" s="22" t="s">
        <v>47</v>
      </c>
      <c r="F76" s="22" t="s">
        <v>55</v>
      </c>
      <c r="G76" s="22" t="s">
        <v>73</v>
      </c>
      <c r="H76" s="22" t="s">
        <v>74</v>
      </c>
      <c r="I76" s="22" t="s">
        <v>75</v>
      </c>
      <c r="J76" s="22" t="s">
        <v>51</v>
      </c>
      <c r="K76" s="22" t="s">
        <v>145</v>
      </c>
      <c r="L76" s="25" t="n">
        <v>100</v>
      </c>
      <c r="M76" s="25" t="n">
        <v>825</v>
      </c>
      <c r="N76" s="26" t="n">
        <f aca="false">IF(L76="","",L76*M76)</f>
        <v>82500</v>
      </c>
      <c r="O76" s="25" t="n">
        <v>609</v>
      </c>
      <c r="P76" s="26" t="n">
        <f aca="false">IF(L76="","",N76-L76*O76)</f>
        <v>21600</v>
      </c>
      <c r="Q76" s="27" t="n">
        <v>12</v>
      </c>
      <c r="R76" s="27" t="n">
        <v>10</v>
      </c>
      <c r="S76" s="22" t="s">
        <v>44</v>
      </c>
      <c r="T76" s="22" t="str">
        <f aca="false">IF(R76="","",IF(R76&lt;=Q76,"Yes","No"))</f>
        <v>Yes</v>
      </c>
      <c r="U76" s="22" t="str">
        <f aca="false">IF(B76="","",TEXT(YEAR(B76),"0"))</f>
        <v>2023</v>
      </c>
    </row>
    <row r="77" customFormat="false" ht="15" hidden="false" customHeight="false" outlineLevel="0" collapsed="false">
      <c r="A77" s="22" t="s">
        <v>216</v>
      </c>
      <c r="B77" s="23" t="n">
        <v>45149</v>
      </c>
      <c r="C77" s="24" t="n">
        <f aca="false">IF(B77="","",DATE(YEAR(B77),MONTH(B77),1))</f>
        <v>45139</v>
      </c>
      <c r="D77" s="22" t="s">
        <v>133</v>
      </c>
      <c r="E77" s="22" t="s">
        <v>47</v>
      </c>
      <c r="F77" s="22" t="s">
        <v>104</v>
      </c>
      <c r="G77" s="22" t="s">
        <v>82</v>
      </c>
      <c r="H77" s="22" t="s">
        <v>83</v>
      </c>
      <c r="I77" s="22" t="s">
        <v>41</v>
      </c>
      <c r="J77" s="22" t="s">
        <v>66</v>
      </c>
      <c r="K77" s="22" t="s">
        <v>145</v>
      </c>
      <c r="L77" s="25" t="n">
        <v>200</v>
      </c>
      <c r="M77" s="25" t="n">
        <v>660</v>
      </c>
      <c r="N77" s="26" t="n">
        <f aca="false">IF(L77="","",L77*M77)</f>
        <v>132000</v>
      </c>
      <c r="O77" s="25" t="n">
        <v>499</v>
      </c>
      <c r="P77" s="26" t="n">
        <f aca="false">IF(L77="","",N77-L77*O77)</f>
        <v>32200</v>
      </c>
      <c r="Q77" s="27" t="n">
        <v>10</v>
      </c>
      <c r="R77" s="27" t="n">
        <v>10</v>
      </c>
      <c r="S77" s="22" t="s">
        <v>44</v>
      </c>
      <c r="T77" s="22" t="str">
        <f aca="false">IF(R77="","",IF(R77&lt;=Q77,"Yes","No"))</f>
        <v>Yes</v>
      </c>
      <c r="U77" s="22" t="str">
        <f aca="false">IF(B77="","",TEXT(YEAR(B77),"0"))</f>
        <v>2023</v>
      </c>
    </row>
    <row r="78" customFormat="false" ht="15" hidden="false" customHeight="false" outlineLevel="0" collapsed="false">
      <c r="A78" s="22" t="s">
        <v>217</v>
      </c>
      <c r="B78" s="23" t="n">
        <v>45152</v>
      </c>
      <c r="C78" s="24" t="n">
        <f aca="false">IF(B78="","",DATE(YEAR(B78),MONTH(B78),1))</f>
        <v>45139</v>
      </c>
      <c r="D78" s="22" t="s">
        <v>71</v>
      </c>
      <c r="E78" s="22" t="s">
        <v>37</v>
      </c>
      <c r="F78" s="22" t="s">
        <v>72</v>
      </c>
      <c r="G78" s="22" t="s">
        <v>39</v>
      </c>
      <c r="H78" s="22" t="s">
        <v>40</v>
      </c>
      <c r="I78" s="22" t="s">
        <v>41</v>
      </c>
      <c r="J78" s="22" t="s">
        <v>42</v>
      </c>
      <c r="K78" s="22" t="s">
        <v>76</v>
      </c>
      <c r="L78" s="25" t="n">
        <v>25</v>
      </c>
      <c r="M78" s="25" t="n">
        <v>870</v>
      </c>
      <c r="N78" s="26" t="n">
        <f aca="false">IF(L78="","",L78*M78)</f>
        <v>21750</v>
      </c>
      <c r="O78" s="25" t="n">
        <v>624</v>
      </c>
      <c r="P78" s="26" t="n">
        <f aca="false">IF(L78="","",N78-L78*O78)</f>
        <v>6150</v>
      </c>
      <c r="Q78" s="27" t="n">
        <v>21</v>
      </c>
      <c r="R78" s="27" t="n">
        <v>22</v>
      </c>
      <c r="S78" s="22" t="s">
        <v>44</v>
      </c>
      <c r="T78" s="22" t="str">
        <f aca="false">IF(R78="","",IF(R78&lt;=Q78,"Yes","No"))</f>
        <v>No</v>
      </c>
      <c r="U78" s="22" t="str">
        <f aca="false">IF(B78="","",TEXT(YEAR(B78),"0"))</f>
        <v>2023</v>
      </c>
    </row>
    <row r="79" customFormat="false" ht="15" hidden="false" customHeight="false" outlineLevel="0" collapsed="false">
      <c r="A79" s="22" t="s">
        <v>218</v>
      </c>
      <c r="B79" s="23" t="n">
        <v>45155</v>
      </c>
      <c r="C79" s="24" t="n">
        <f aca="false">IF(B79="","",DATE(YEAR(B79),MONTH(B79),1))</f>
        <v>45139</v>
      </c>
      <c r="D79" s="22" t="s">
        <v>71</v>
      </c>
      <c r="E79" s="22" t="s">
        <v>37</v>
      </c>
      <c r="F79" s="22" t="s">
        <v>72</v>
      </c>
      <c r="G79" s="22" t="s">
        <v>73</v>
      </c>
      <c r="H79" s="22" t="s">
        <v>74</v>
      </c>
      <c r="I79" s="22" t="s">
        <v>75</v>
      </c>
      <c r="J79" s="22" t="s">
        <v>51</v>
      </c>
      <c r="K79" s="22" t="s">
        <v>145</v>
      </c>
      <c r="L79" s="25" t="n">
        <v>300</v>
      </c>
      <c r="M79" s="25" t="n">
        <v>800</v>
      </c>
      <c r="N79" s="26" t="n">
        <f aca="false">IF(L79="","",L79*M79)</f>
        <v>240000</v>
      </c>
      <c r="O79" s="25" t="n">
        <v>602</v>
      </c>
      <c r="P79" s="26" t="n">
        <f aca="false">IF(L79="","",N79-L79*O79)</f>
        <v>59400</v>
      </c>
      <c r="Q79" s="27" t="n">
        <v>30</v>
      </c>
      <c r="R79" s="27" t="n">
        <v>30</v>
      </c>
      <c r="S79" s="22" t="s">
        <v>44</v>
      </c>
      <c r="T79" s="22" t="str">
        <f aca="false">IF(R79="","",IF(R79&lt;=Q79,"Yes","No"))</f>
        <v>Yes</v>
      </c>
      <c r="U79" s="22" t="str">
        <f aca="false">IF(B79="","",TEXT(YEAR(B79),"0"))</f>
        <v>2023</v>
      </c>
    </row>
    <row r="80" customFormat="false" ht="15" hidden="false" customHeight="false" outlineLevel="0" collapsed="false">
      <c r="A80" s="22" t="s">
        <v>219</v>
      </c>
      <c r="B80" s="23" t="n">
        <v>45156</v>
      </c>
      <c r="C80" s="24" t="n">
        <f aca="false">IF(B80="","",DATE(YEAR(B80),MONTH(B80),1))</f>
        <v>45139</v>
      </c>
      <c r="D80" s="22" t="s">
        <v>103</v>
      </c>
      <c r="E80" s="22" t="s">
        <v>47</v>
      </c>
      <c r="F80" s="22" t="s">
        <v>104</v>
      </c>
      <c r="G80" s="22" t="s">
        <v>220</v>
      </c>
      <c r="H80" s="22" t="s">
        <v>221</v>
      </c>
      <c r="I80" s="22" t="s">
        <v>222</v>
      </c>
      <c r="J80" s="22" t="s">
        <v>113</v>
      </c>
      <c r="K80" s="22" t="s">
        <v>43</v>
      </c>
      <c r="L80" s="25" t="n">
        <v>25</v>
      </c>
      <c r="M80" s="25" t="n">
        <v>940</v>
      </c>
      <c r="N80" s="26" t="n">
        <f aca="false">IF(L80="","",L80*M80)</f>
        <v>23500</v>
      </c>
      <c r="O80" s="25" t="n">
        <v>690</v>
      </c>
      <c r="P80" s="26" t="n">
        <f aca="false">IF(L80="","",N80-L80*O80)</f>
        <v>6250</v>
      </c>
      <c r="Q80" s="27" t="n">
        <v>12</v>
      </c>
      <c r="R80" s="27" t="n">
        <v>10</v>
      </c>
      <c r="S80" s="22" t="s">
        <v>44</v>
      </c>
      <c r="T80" s="22" t="str">
        <f aca="false">IF(R80="","",IF(R80&lt;=Q80,"Yes","No"))</f>
        <v>Yes</v>
      </c>
      <c r="U80" s="22" t="str">
        <f aca="false">IF(B80="","",TEXT(YEAR(B80),"0"))</f>
        <v>2023</v>
      </c>
    </row>
    <row r="81" customFormat="false" ht="15" hidden="false" customHeight="false" outlineLevel="0" collapsed="false">
      <c r="A81" s="22" t="s">
        <v>223</v>
      </c>
      <c r="B81" s="23" t="n">
        <v>45159</v>
      </c>
      <c r="C81" s="24" t="n">
        <f aca="false">IF(B81="","",DATE(YEAR(B81),MONTH(B81),1))</f>
        <v>45139</v>
      </c>
      <c r="D81" s="22" t="s">
        <v>103</v>
      </c>
      <c r="E81" s="22" t="s">
        <v>47</v>
      </c>
      <c r="F81" s="22" t="s">
        <v>104</v>
      </c>
      <c r="G81" s="22" t="s">
        <v>119</v>
      </c>
      <c r="H81" s="22" t="s">
        <v>120</v>
      </c>
      <c r="I81" s="22" t="s">
        <v>121</v>
      </c>
      <c r="J81" s="22" t="s">
        <v>122</v>
      </c>
      <c r="K81" s="22" t="s">
        <v>43</v>
      </c>
      <c r="L81" s="25" t="n">
        <v>50</v>
      </c>
      <c r="M81" s="25" t="n">
        <v>1225</v>
      </c>
      <c r="N81" s="26" t="n">
        <f aca="false">IF(L81="","",L81*M81)</f>
        <v>61250</v>
      </c>
      <c r="O81" s="25" t="n">
        <v>796</v>
      </c>
      <c r="P81" s="26" t="n">
        <f aca="false">IF(L81="","",N81-L81*O81)</f>
        <v>21450</v>
      </c>
      <c r="Q81" s="27" t="n">
        <v>10</v>
      </c>
      <c r="R81" s="27" t="n">
        <v>9</v>
      </c>
      <c r="S81" s="22" t="s">
        <v>44</v>
      </c>
      <c r="T81" s="22" t="str">
        <f aca="false">IF(R81="","",IF(R81&lt;=Q81,"Yes","No"))</f>
        <v>Yes</v>
      </c>
      <c r="U81" s="22" t="str">
        <f aca="false">IF(B81="","",TEXT(YEAR(B81),"0"))</f>
        <v>2023</v>
      </c>
    </row>
    <row r="82" customFormat="false" ht="15" hidden="false" customHeight="false" outlineLevel="0" collapsed="false">
      <c r="A82" s="22" t="s">
        <v>224</v>
      </c>
      <c r="B82" s="23" t="n">
        <v>45164</v>
      </c>
      <c r="C82" s="24" t="n">
        <f aca="false">IF(B82="","",DATE(YEAR(B82),MONTH(B82),1))</f>
        <v>45139</v>
      </c>
      <c r="D82" s="22" t="s">
        <v>36</v>
      </c>
      <c r="E82" s="22" t="s">
        <v>37</v>
      </c>
      <c r="F82" s="22" t="s">
        <v>38</v>
      </c>
      <c r="G82" s="22" t="s">
        <v>225</v>
      </c>
      <c r="H82" s="22" t="s">
        <v>226</v>
      </c>
      <c r="I82" s="22" t="s">
        <v>41</v>
      </c>
      <c r="J82" s="22" t="s">
        <v>42</v>
      </c>
      <c r="K82" s="22" t="s">
        <v>59</v>
      </c>
      <c r="L82" s="25" t="n">
        <v>200</v>
      </c>
      <c r="M82" s="25" t="n">
        <v>845</v>
      </c>
      <c r="N82" s="26" t="n">
        <f aca="false">IF(L82="","",L82*M82)</f>
        <v>169000</v>
      </c>
      <c r="O82" s="25" t="n">
        <v>639</v>
      </c>
      <c r="P82" s="26" t="n">
        <f aca="false">IF(L82="","",N82-L82*O82)</f>
        <v>41200</v>
      </c>
      <c r="Q82" s="27" t="n">
        <v>25</v>
      </c>
      <c r="R82" s="27" t="n">
        <v>26</v>
      </c>
      <c r="S82" s="22" t="s">
        <v>44</v>
      </c>
      <c r="T82" s="22" t="str">
        <f aca="false">IF(R82="","",IF(R82&lt;=Q82,"Yes","No"))</f>
        <v>No</v>
      </c>
      <c r="U82" s="22" t="str">
        <f aca="false">IF(B82="","",TEXT(YEAR(B82),"0"))</f>
        <v>2023</v>
      </c>
    </row>
    <row r="83" customFormat="false" ht="15" hidden="false" customHeight="false" outlineLevel="0" collapsed="false">
      <c r="A83" s="22" t="s">
        <v>227</v>
      </c>
      <c r="B83" s="23" t="n">
        <v>45171</v>
      </c>
      <c r="C83" s="24" t="n">
        <f aca="false">IF(B83="","",DATE(YEAR(B83),MONTH(B83),1))</f>
        <v>45170</v>
      </c>
      <c r="D83" s="22" t="s">
        <v>46</v>
      </c>
      <c r="E83" s="22" t="s">
        <v>47</v>
      </c>
      <c r="F83" s="22" t="s">
        <v>48</v>
      </c>
      <c r="G83" s="22" t="s">
        <v>171</v>
      </c>
      <c r="H83" s="22" t="s">
        <v>172</v>
      </c>
      <c r="I83" s="22" t="s">
        <v>173</v>
      </c>
      <c r="J83" s="22" t="s">
        <v>113</v>
      </c>
      <c r="K83" s="22" t="s">
        <v>130</v>
      </c>
      <c r="L83" s="25" t="n">
        <v>500</v>
      </c>
      <c r="M83" s="25" t="n">
        <v>930</v>
      </c>
      <c r="N83" s="26" t="n">
        <f aca="false">IF(L83="","",L83*M83)</f>
        <v>465000</v>
      </c>
      <c r="O83" s="25" t="n">
        <v>680</v>
      </c>
      <c r="P83" s="26" t="n">
        <f aca="false">IF(L83="","",N83-L83*O83)</f>
        <v>125000</v>
      </c>
      <c r="Q83" s="27" t="n">
        <v>12</v>
      </c>
      <c r="R83" s="27" t="n">
        <v>12</v>
      </c>
      <c r="S83" s="22" t="s">
        <v>44</v>
      </c>
      <c r="T83" s="22" t="str">
        <f aca="false">IF(R83="","",IF(R83&lt;=Q83,"Yes","No"))</f>
        <v>Yes</v>
      </c>
      <c r="U83" s="22" t="str">
        <f aca="false">IF(B83="","",TEXT(YEAR(B83),"0"))</f>
        <v>2023</v>
      </c>
    </row>
    <row r="84" customFormat="false" ht="15" hidden="false" customHeight="false" outlineLevel="0" collapsed="false">
      <c r="A84" s="22" t="s">
        <v>228</v>
      </c>
      <c r="B84" s="23" t="n">
        <v>45173</v>
      </c>
      <c r="C84" s="24" t="n">
        <f aca="false">IF(B84="","",DATE(YEAR(B84),MONTH(B84),1))</f>
        <v>45170</v>
      </c>
      <c r="D84" s="22" t="s">
        <v>103</v>
      </c>
      <c r="E84" s="22" t="s">
        <v>47</v>
      </c>
      <c r="F84" s="22" t="s">
        <v>104</v>
      </c>
      <c r="G84" s="22" t="s">
        <v>148</v>
      </c>
      <c r="H84" s="22" t="s">
        <v>149</v>
      </c>
      <c r="I84" s="22" t="s">
        <v>41</v>
      </c>
      <c r="J84" s="22" t="s">
        <v>150</v>
      </c>
      <c r="K84" s="22" t="s">
        <v>52</v>
      </c>
      <c r="L84" s="25" t="n">
        <v>300</v>
      </c>
      <c r="M84" s="25" t="n">
        <v>1065</v>
      </c>
      <c r="N84" s="26" t="n">
        <f aca="false">IF(L84="","",L84*M84)</f>
        <v>319500</v>
      </c>
      <c r="O84" s="25" t="n">
        <v>745</v>
      </c>
      <c r="P84" s="26" t="n">
        <f aca="false">IF(L84="","",N84-L84*O84)</f>
        <v>96000</v>
      </c>
      <c r="Q84" s="27" t="n">
        <v>12</v>
      </c>
      <c r="R84" s="27" t="n">
        <v>13</v>
      </c>
      <c r="S84" s="22" t="s">
        <v>44</v>
      </c>
      <c r="T84" s="22" t="str">
        <f aca="false">IF(R84="","",IF(R84&lt;=Q84,"Yes","No"))</f>
        <v>No</v>
      </c>
      <c r="U84" s="22" t="str">
        <f aca="false">IF(B84="","",TEXT(YEAR(B84),"0"))</f>
        <v>2023</v>
      </c>
    </row>
    <row r="85" customFormat="false" ht="15" hidden="false" customHeight="false" outlineLevel="0" collapsed="false">
      <c r="A85" s="22" t="s">
        <v>229</v>
      </c>
      <c r="B85" s="23" t="n">
        <v>45173</v>
      </c>
      <c r="C85" s="24" t="n">
        <f aca="false">IF(B85="","",DATE(YEAR(B85),MONTH(B85),1))</f>
        <v>45170</v>
      </c>
      <c r="D85" s="22" t="s">
        <v>96</v>
      </c>
      <c r="E85" s="22" t="s">
        <v>47</v>
      </c>
      <c r="F85" s="22" t="s">
        <v>97</v>
      </c>
      <c r="G85" s="22" t="s">
        <v>126</v>
      </c>
      <c r="H85" s="22" t="s">
        <v>127</v>
      </c>
      <c r="I85" s="22" t="s">
        <v>41</v>
      </c>
      <c r="J85" s="22" t="s">
        <v>42</v>
      </c>
      <c r="K85" s="22" t="s">
        <v>52</v>
      </c>
      <c r="L85" s="25" t="n">
        <v>25</v>
      </c>
      <c r="M85" s="25" t="n">
        <v>925</v>
      </c>
      <c r="N85" s="26" t="n">
        <f aca="false">IF(L85="","",L85*M85)</f>
        <v>23125</v>
      </c>
      <c r="O85" s="25" t="n">
        <v>638</v>
      </c>
      <c r="P85" s="26" t="n">
        <f aca="false">IF(L85="","",N85-L85*O85)</f>
        <v>7175</v>
      </c>
      <c r="Q85" s="27" t="n">
        <v>15</v>
      </c>
      <c r="R85" s="27" t="n">
        <v>16</v>
      </c>
      <c r="S85" s="22" t="s">
        <v>44</v>
      </c>
      <c r="T85" s="22" t="str">
        <f aca="false">IF(R85="","",IF(R85&lt;=Q85,"Yes","No"))</f>
        <v>No</v>
      </c>
      <c r="U85" s="22" t="str">
        <f aca="false">IF(B85="","",TEXT(YEAR(B85),"0"))</f>
        <v>2023</v>
      </c>
    </row>
    <row r="86" customFormat="false" ht="15" hidden="false" customHeight="false" outlineLevel="0" collapsed="false">
      <c r="A86" s="22" t="s">
        <v>230</v>
      </c>
      <c r="B86" s="23" t="n">
        <v>45176</v>
      </c>
      <c r="C86" s="24" t="n">
        <f aca="false">IF(B86="","",DATE(YEAR(B86),MONTH(B86),1))</f>
        <v>45170</v>
      </c>
      <c r="D86" s="22" t="s">
        <v>71</v>
      </c>
      <c r="E86" s="22" t="s">
        <v>37</v>
      </c>
      <c r="F86" s="22" t="s">
        <v>72</v>
      </c>
      <c r="G86" s="22" t="s">
        <v>73</v>
      </c>
      <c r="H86" s="22" t="s">
        <v>74</v>
      </c>
      <c r="I86" s="22" t="s">
        <v>75</v>
      </c>
      <c r="J86" s="22" t="s">
        <v>51</v>
      </c>
      <c r="K86" s="22" t="s">
        <v>145</v>
      </c>
      <c r="L86" s="25" t="n">
        <v>100</v>
      </c>
      <c r="M86" s="25" t="n">
        <v>790</v>
      </c>
      <c r="N86" s="26" t="n">
        <f aca="false">IF(L86="","",L86*M86)</f>
        <v>79000</v>
      </c>
      <c r="O86" s="25" t="n">
        <v>611</v>
      </c>
      <c r="P86" s="26" t="n">
        <f aca="false">IF(L86="","",N86-L86*O86)</f>
        <v>17900</v>
      </c>
      <c r="Q86" s="27" t="n">
        <v>25</v>
      </c>
      <c r="R86" s="27" t="n">
        <v>22</v>
      </c>
      <c r="S86" s="22" t="s">
        <v>44</v>
      </c>
      <c r="T86" s="22" t="str">
        <f aca="false">IF(R86="","",IF(R86&lt;=Q86,"Yes","No"))</f>
        <v>Yes</v>
      </c>
      <c r="U86" s="22" t="str">
        <f aca="false">IF(B86="","",TEXT(YEAR(B86),"0"))</f>
        <v>2023</v>
      </c>
    </row>
    <row r="87" customFormat="false" ht="15" hidden="false" customHeight="false" outlineLevel="0" collapsed="false">
      <c r="A87" s="22" t="s">
        <v>231</v>
      </c>
      <c r="B87" s="23" t="n">
        <v>45176</v>
      </c>
      <c r="C87" s="24" t="n">
        <f aca="false">IF(B87="","",DATE(YEAR(B87),MONTH(B87),1))</f>
        <v>45170</v>
      </c>
      <c r="D87" s="22" t="s">
        <v>71</v>
      </c>
      <c r="E87" s="22" t="s">
        <v>37</v>
      </c>
      <c r="F87" s="22" t="s">
        <v>72</v>
      </c>
      <c r="G87" s="22" t="s">
        <v>232</v>
      </c>
      <c r="H87" s="22" t="s">
        <v>233</v>
      </c>
      <c r="I87" s="22" t="s">
        <v>41</v>
      </c>
      <c r="J87" s="22" t="s">
        <v>234</v>
      </c>
      <c r="K87" s="22" t="s">
        <v>76</v>
      </c>
      <c r="L87" s="25" t="n">
        <v>100</v>
      </c>
      <c r="M87" s="25" t="n">
        <v>1225</v>
      </c>
      <c r="N87" s="26" t="n">
        <f aca="false">IF(L87="","",L87*M87)</f>
        <v>122500</v>
      </c>
      <c r="O87" s="25" t="n">
        <v>824</v>
      </c>
      <c r="P87" s="26" t="n">
        <f aca="false">IF(L87="","",N87-L87*O87)</f>
        <v>40100</v>
      </c>
      <c r="Q87" s="27" t="n">
        <v>25</v>
      </c>
      <c r="R87" s="27" t="n">
        <v>22</v>
      </c>
      <c r="S87" s="22" t="s">
        <v>44</v>
      </c>
      <c r="T87" s="22" t="str">
        <f aca="false">IF(R87="","",IF(R87&lt;=Q87,"Yes","No"))</f>
        <v>Yes</v>
      </c>
      <c r="U87" s="22" t="str">
        <f aca="false">IF(B87="","",TEXT(YEAR(B87),"0"))</f>
        <v>2023</v>
      </c>
    </row>
    <row r="88" customFormat="false" ht="15" hidden="false" customHeight="false" outlineLevel="0" collapsed="false">
      <c r="A88" s="22" t="s">
        <v>235</v>
      </c>
      <c r="B88" s="23" t="n">
        <v>45178</v>
      </c>
      <c r="C88" s="24" t="n">
        <f aca="false">IF(B88="","",DATE(YEAR(B88),MONTH(B88),1))</f>
        <v>45170</v>
      </c>
      <c r="D88" s="22" t="s">
        <v>46</v>
      </c>
      <c r="E88" s="22" t="s">
        <v>47</v>
      </c>
      <c r="F88" s="22" t="s">
        <v>48</v>
      </c>
      <c r="G88" s="22" t="s">
        <v>181</v>
      </c>
      <c r="H88" s="22" t="s">
        <v>182</v>
      </c>
      <c r="I88" s="22" t="s">
        <v>183</v>
      </c>
      <c r="J88" s="22" t="s">
        <v>122</v>
      </c>
      <c r="K88" s="22" t="s">
        <v>43</v>
      </c>
      <c r="L88" s="25" t="n">
        <v>200</v>
      </c>
      <c r="M88" s="25" t="n">
        <v>1035</v>
      </c>
      <c r="N88" s="26" t="n">
        <f aca="false">IF(L88="","",L88*M88)</f>
        <v>207000</v>
      </c>
      <c r="O88" s="25" t="n">
        <v>700</v>
      </c>
      <c r="P88" s="26" t="n">
        <f aca="false">IF(L88="","",N88-L88*O88)</f>
        <v>67000</v>
      </c>
      <c r="Q88" s="27" t="n">
        <v>12</v>
      </c>
      <c r="R88" s="27" t="n">
        <v>11</v>
      </c>
      <c r="S88" s="22" t="s">
        <v>44</v>
      </c>
      <c r="T88" s="22" t="str">
        <f aca="false">IF(R88="","",IF(R88&lt;=Q88,"Yes","No"))</f>
        <v>Yes</v>
      </c>
      <c r="U88" s="22" t="str">
        <f aca="false">IF(B88="","",TEXT(YEAR(B88),"0"))</f>
        <v>2023</v>
      </c>
    </row>
    <row r="89" customFormat="false" ht="15" hidden="false" customHeight="false" outlineLevel="0" collapsed="false">
      <c r="A89" s="22" t="s">
        <v>236</v>
      </c>
      <c r="B89" s="23" t="n">
        <v>45180</v>
      </c>
      <c r="C89" s="24" t="n">
        <f aca="false">IF(B89="","",DATE(YEAR(B89),MONTH(B89),1))</f>
        <v>45170</v>
      </c>
      <c r="D89" s="22" t="s">
        <v>69</v>
      </c>
      <c r="E89" s="22" t="s">
        <v>37</v>
      </c>
      <c r="F89" s="22" t="s">
        <v>62</v>
      </c>
      <c r="G89" s="22" t="s">
        <v>155</v>
      </c>
      <c r="H89" s="22" t="s">
        <v>156</v>
      </c>
      <c r="I89" s="22" t="s">
        <v>157</v>
      </c>
      <c r="J89" s="22" t="s">
        <v>122</v>
      </c>
      <c r="K89" s="22" t="s">
        <v>43</v>
      </c>
      <c r="L89" s="25" t="n">
        <v>25</v>
      </c>
      <c r="M89" s="25" t="n">
        <v>1095</v>
      </c>
      <c r="N89" s="26" t="n">
        <f aca="false">IF(L89="","",L89*M89)</f>
        <v>27375</v>
      </c>
      <c r="O89" s="25" t="n">
        <v>790</v>
      </c>
      <c r="P89" s="26" t="n">
        <f aca="false">IF(L89="","",N89-L89*O89)</f>
        <v>7625</v>
      </c>
      <c r="Q89" s="27" t="n">
        <v>30</v>
      </c>
      <c r="R89" s="27" t="n">
        <v>28</v>
      </c>
      <c r="S89" s="22" t="s">
        <v>44</v>
      </c>
      <c r="T89" s="22" t="str">
        <f aca="false">IF(R89="","",IF(R89&lt;=Q89,"Yes","No"))</f>
        <v>Yes</v>
      </c>
      <c r="U89" s="22" t="str">
        <f aca="false">IF(B89="","",TEXT(YEAR(B89),"0"))</f>
        <v>2023</v>
      </c>
    </row>
    <row r="90" customFormat="false" ht="15" hidden="false" customHeight="false" outlineLevel="0" collapsed="false">
      <c r="A90" s="22" t="s">
        <v>237</v>
      </c>
      <c r="B90" s="23" t="n">
        <v>45191</v>
      </c>
      <c r="C90" s="24" t="n">
        <f aca="false">IF(B90="","",DATE(YEAR(B90),MONTH(B90),1))</f>
        <v>45170</v>
      </c>
      <c r="D90" s="22" t="s">
        <v>46</v>
      </c>
      <c r="E90" s="22" t="s">
        <v>47</v>
      </c>
      <c r="F90" s="22" t="s">
        <v>48</v>
      </c>
      <c r="G90" s="22" t="s">
        <v>49</v>
      </c>
      <c r="H90" s="22" t="s">
        <v>50</v>
      </c>
      <c r="I90" s="22" t="s">
        <v>41</v>
      </c>
      <c r="J90" s="22" t="s">
        <v>51</v>
      </c>
      <c r="K90" s="22" t="s">
        <v>67</v>
      </c>
      <c r="L90" s="25" t="n">
        <v>100</v>
      </c>
      <c r="M90" s="25" t="n">
        <v>845</v>
      </c>
      <c r="N90" s="26" t="n">
        <f aca="false">IF(L90="","",L90*M90)</f>
        <v>84500</v>
      </c>
      <c r="O90" s="25" t="n">
        <v>584</v>
      </c>
      <c r="P90" s="26" t="n">
        <f aca="false">IF(L90="","",N90-L90*O90)</f>
        <v>26100</v>
      </c>
      <c r="Q90" s="27" t="n">
        <v>12</v>
      </c>
      <c r="R90" s="27" t="n">
        <v>13</v>
      </c>
      <c r="S90" s="22" t="s">
        <v>44</v>
      </c>
      <c r="T90" s="22" t="str">
        <f aca="false">IF(R90="","",IF(R90&lt;=Q90,"Yes","No"))</f>
        <v>No</v>
      </c>
      <c r="U90" s="22" t="str">
        <f aca="false">IF(B90="","",TEXT(YEAR(B90),"0"))</f>
        <v>2023</v>
      </c>
    </row>
    <row r="91" customFormat="false" ht="15" hidden="false" customHeight="false" outlineLevel="0" collapsed="false">
      <c r="A91" s="22" t="s">
        <v>238</v>
      </c>
      <c r="B91" s="23" t="n">
        <v>45195</v>
      </c>
      <c r="C91" s="24" t="n">
        <f aca="false">IF(B91="","",DATE(YEAR(B91),MONTH(B91),1))</f>
        <v>45170</v>
      </c>
      <c r="D91" s="22" t="s">
        <v>61</v>
      </c>
      <c r="E91" s="22" t="s">
        <v>37</v>
      </c>
      <c r="F91" s="22" t="s">
        <v>62</v>
      </c>
      <c r="G91" s="22" t="s">
        <v>225</v>
      </c>
      <c r="H91" s="22" t="s">
        <v>226</v>
      </c>
      <c r="I91" s="22" t="s">
        <v>41</v>
      </c>
      <c r="J91" s="22" t="s">
        <v>42</v>
      </c>
      <c r="K91" s="22" t="s">
        <v>67</v>
      </c>
      <c r="L91" s="25" t="n">
        <v>100</v>
      </c>
      <c r="M91" s="25" t="n">
        <v>835</v>
      </c>
      <c r="N91" s="26" t="n">
        <f aca="false">IF(L91="","",L91*M91)</f>
        <v>83500</v>
      </c>
      <c r="O91" s="25" t="n">
        <v>648</v>
      </c>
      <c r="P91" s="26" t="n">
        <f aca="false">IF(L91="","",N91-L91*O91)</f>
        <v>18700</v>
      </c>
      <c r="Q91" s="27" t="n">
        <v>21</v>
      </c>
      <c r="R91" s="27" t="n">
        <v>19</v>
      </c>
      <c r="S91" s="22" t="s">
        <v>44</v>
      </c>
      <c r="T91" s="22" t="str">
        <f aca="false">IF(R91="","",IF(R91&lt;=Q91,"Yes","No"))</f>
        <v>Yes</v>
      </c>
      <c r="U91" s="22" t="str">
        <f aca="false">IF(B91="","",TEXT(YEAR(B91),"0"))</f>
        <v>2023</v>
      </c>
    </row>
    <row r="92" customFormat="false" ht="15" hidden="false" customHeight="false" outlineLevel="0" collapsed="false">
      <c r="A92" s="22" t="s">
        <v>239</v>
      </c>
      <c r="B92" s="23" t="n">
        <v>45197</v>
      </c>
      <c r="C92" s="24" t="n">
        <f aca="false">IF(B92="","",DATE(YEAR(B92),MONTH(B92),1))</f>
        <v>45170</v>
      </c>
      <c r="D92" s="22" t="s">
        <v>54</v>
      </c>
      <c r="E92" s="22" t="s">
        <v>47</v>
      </c>
      <c r="F92" s="22" t="s">
        <v>55</v>
      </c>
      <c r="G92" s="22" t="s">
        <v>194</v>
      </c>
      <c r="H92" s="22" t="s">
        <v>195</v>
      </c>
      <c r="I92" s="22" t="s">
        <v>41</v>
      </c>
      <c r="J92" s="22" t="s">
        <v>122</v>
      </c>
      <c r="K92" s="22" t="s">
        <v>59</v>
      </c>
      <c r="L92" s="25" t="n">
        <v>25</v>
      </c>
      <c r="M92" s="25" t="n">
        <v>1035</v>
      </c>
      <c r="N92" s="26" t="n">
        <f aca="false">IF(L92="","",L92*M92)</f>
        <v>25875</v>
      </c>
      <c r="O92" s="25" t="n">
        <v>694</v>
      </c>
      <c r="P92" s="26" t="n">
        <f aca="false">IF(L92="","",N92-L92*O92)</f>
        <v>8525</v>
      </c>
      <c r="Q92" s="27" t="n">
        <v>15</v>
      </c>
      <c r="R92" s="27" t="n">
        <v>15</v>
      </c>
      <c r="S92" s="22" t="s">
        <v>44</v>
      </c>
      <c r="T92" s="22" t="str">
        <f aca="false">IF(R92="","",IF(R92&lt;=Q92,"Yes","No"))</f>
        <v>Yes</v>
      </c>
      <c r="U92" s="22" t="str">
        <f aca="false">IF(B92="","",TEXT(YEAR(B92),"0"))</f>
        <v>2023</v>
      </c>
    </row>
    <row r="93" customFormat="false" ht="15" hidden="false" customHeight="false" outlineLevel="0" collapsed="false">
      <c r="A93" s="22" t="s">
        <v>240</v>
      </c>
      <c r="B93" s="23" t="n">
        <v>45205</v>
      </c>
      <c r="C93" s="24" t="n">
        <f aca="false">IF(B93="","",DATE(YEAR(B93),MONTH(B93),1))</f>
        <v>45200</v>
      </c>
      <c r="D93" s="22" t="s">
        <v>133</v>
      </c>
      <c r="E93" s="22" t="s">
        <v>47</v>
      </c>
      <c r="F93" s="22" t="s">
        <v>104</v>
      </c>
      <c r="G93" s="22" t="s">
        <v>39</v>
      </c>
      <c r="H93" s="22" t="s">
        <v>40</v>
      </c>
      <c r="I93" s="22" t="s">
        <v>41</v>
      </c>
      <c r="J93" s="22" t="s">
        <v>42</v>
      </c>
      <c r="K93" s="22" t="s">
        <v>145</v>
      </c>
      <c r="L93" s="25" t="n">
        <v>200</v>
      </c>
      <c r="M93" s="25" t="n">
        <v>875</v>
      </c>
      <c r="N93" s="26" t="n">
        <f aca="false">IF(L93="","",L93*M93)</f>
        <v>175000</v>
      </c>
      <c r="O93" s="25" t="n">
        <v>619</v>
      </c>
      <c r="P93" s="26" t="n">
        <f aca="false">IF(L93="","",N93-L93*O93)</f>
        <v>51200</v>
      </c>
      <c r="Q93" s="27" t="n">
        <v>15</v>
      </c>
      <c r="R93" s="27" t="n">
        <v>10</v>
      </c>
      <c r="S93" s="22" t="s">
        <v>44</v>
      </c>
      <c r="T93" s="22" t="str">
        <f aca="false">IF(R93="","",IF(R93&lt;=Q93,"Yes","No"))</f>
        <v>Yes</v>
      </c>
      <c r="U93" s="22" t="str">
        <f aca="false">IF(B93="","",TEXT(YEAR(B93),"0"))</f>
        <v>2023</v>
      </c>
    </row>
    <row r="94" customFormat="false" ht="15" hidden="false" customHeight="false" outlineLevel="0" collapsed="false">
      <c r="A94" s="22" t="s">
        <v>241</v>
      </c>
      <c r="B94" s="23" t="n">
        <v>45210</v>
      </c>
      <c r="C94" s="24" t="n">
        <f aca="false">IF(B94="","",DATE(YEAR(B94),MONTH(B94),1))</f>
        <v>45200</v>
      </c>
      <c r="D94" s="22" t="s">
        <v>103</v>
      </c>
      <c r="E94" s="22" t="s">
        <v>47</v>
      </c>
      <c r="F94" s="22" t="s">
        <v>104</v>
      </c>
      <c r="G94" s="22" t="s">
        <v>85</v>
      </c>
      <c r="H94" s="22" t="s">
        <v>86</v>
      </c>
      <c r="I94" s="22" t="s">
        <v>87</v>
      </c>
      <c r="J94" s="22" t="s">
        <v>51</v>
      </c>
      <c r="K94" s="22" t="s">
        <v>43</v>
      </c>
      <c r="L94" s="25" t="n">
        <v>25</v>
      </c>
      <c r="M94" s="25" t="n">
        <v>885</v>
      </c>
      <c r="N94" s="26" t="n">
        <f aca="false">IF(L94="","",L94*M94)</f>
        <v>22125</v>
      </c>
      <c r="O94" s="25" t="n">
        <v>605</v>
      </c>
      <c r="P94" s="26" t="n">
        <f aca="false">IF(L94="","",N94-L94*O94)</f>
        <v>7000</v>
      </c>
      <c r="Q94" s="27" t="n">
        <v>12</v>
      </c>
      <c r="R94" s="27" t="n">
        <v>8</v>
      </c>
      <c r="S94" s="22" t="s">
        <v>44</v>
      </c>
      <c r="T94" s="22" t="str">
        <f aca="false">IF(R94="","",IF(R94&lt;=Q94,"Yes","No"))</f>
        <v>Yes</v>
      </c>
      <c r="U94" s="22" t="str">
        <f aca="false">IF(B94="","",TEXT(YEAR(B94),"0"))</f>
        <v>2023</v>
      </c>
    </row>
    <row r="95" customFormat="false" ht="15" hidden="false" customHeight="false" outlineLevel="0" collapsed="false">
      <c r="A95" s="22" t="s">
        <v>242</v>
      </c>
      <c r="B95" s="23" t="n">
        <v>45215</v>
      </c>
      <c r="C95" s="24" t="n">
        <f aca="false">IF(B95="","",DATE(YEAR(B95),MONTH(B95),1))</f>
        <v>45200</v>
      </c>
      <c r="D95" s="22" t="s">
        <v>69</v>
      </c>
      <c r="E95" s="22" t="s">
        <v>37</v>
      </c>
      <c r="F95" s="22" t="s">
        <v>62</v>
      </c>
      <c r="G95" s="22" t="s">
        <v>243</v>
      </c>
      <c r="H95" s="22" t="s">
        <v>244</v>
      </c>
      <c r="I95" s="22" t="s">
        <v>245</v>
      </c>
      <c r="J95" s="22" t="s">
        <v>113</v>
      </c>
      <c r="K95" s="22" t="s">
        <v>43</v>
      </c>
      <c r="L95" s="25" t="n">
        <v>200</v>
      </c>
      <c r="M95" s="25" t="n">
        <v>955</v>
      </c>
      <c r="N95" s="26" t="n">
        <f aca="false">IF(L95="","",L95*M95)</f>
        <v>191000</v>
      </c>
      <c r="O95" s="25" t="n">
        <v>703</v>
      </c>
      <c r="P95" s="26" t="n">
        <f aca="false">IF(L95="","",N95-L95*O95)</f>
        <v>50400</v>
      </c>
      <c r="Q95" s="27" t="n">
        <v>21</v>
      </c>
      <c r="R95" s="27" t="n">
        <v>19</v>
      </c>
      <c r="S95" s="22" t="s">
        <v>44</v>
      </c>
      <c r="T95" s="22" t="str">
        <f aca="false">IF(R95="","",IF(R95&lt;=Q95,"Yes","No"))</f>
        <v>Yes</v>
      </c>
      <c r="U95" s="22" t="str">
        <f aca="false">IF(B95="","",TEXT(YEAR(B95),"0"))</f>
        <v>2023</v>
      </c>
    </row>
    <row r="96" customFormat="false" ht="15" hidden="false" customHeight="false" outlineLevel="0" collapsed="false">
      <c r="A96" s="22" t="s">
        <v>246</v>
      </c>
      <c r="B96" s="23" t="n">
        <v>45218</v>
      </c>
      <c r="C96" s="24" t="n">
        <f aca="false">IF(B96="","",DATE(YEAR(B96),MONTH(B96),1))</f>
        <v>45200</v>
      </c>
      <c r="D96" s="22" t="s">
        <v>96</v>
      </c>
      <c r="E96" s="22" t="s">
        <v>47</v>
      </c>
      <c r="F96" s="22" t="s">
        <v>97</v>
      </c>
      <c r="G96" s="22" t="s">
        <v>82</v>
      </c>
      <c r="H96" s="22" t="s">
        <v>83</v>
      </c>
      <c r="I96" s="22" t="s">
        <v>41</v>
      </c>
      <c r="J96" s="22" t="s">
        <v>66</v>
      </c>
      <c r="K96" s="22" t="s">
        <v>67</v>
      </c>
      <c r="L96" s="25" t="n">
        <v>25</v>
      </c>
      <c r="M96" s="25" t="n">
        <v>680</v>
      </c>
      <c r="N96" s="26" t="n">
        <f aca="false">IF(L96="","",L96*M96)</f>
        <v>17000</v>
      </c>
      <c r="O96" s="25" t="n">
        <v>505</v>
      </c>
      <c r="P96" s="26" t="n">
        <f aca="false">IF(L96="","",N96-L96*O96)</f>
        <v>4375</v>
      </c>
      <c r="Q96" s="27" t="n">
        <v>15</v>
      </c>
      <c r="R96" s="27" t="n">
        <v>12</v>
      </c>
      <c r="S96" s="22" t="s">
        <v>44</v>
      </c>
      <c r="T96" s="22" t="str">
        <f aca="false">IF(R96="","",IF(R96&lt;=Q96,"Yes","No"))</f>
        <v>Yes</v>
      </c>
      <c r="U96" s="22" t="str">
        <f aca="false">IF(B96="","",TEXT(YEAR(B96),"0"))</f>
        <v>2023</v>
      </c>
    </row>
    <row r="97" customFormat="false" ht="15" hidden="false" customHeight="false" outlineLevel="0" collapsed="false">
      <c r="A97" s="22" t="s">
        <v>247</v>
      </c>
      <c r="B97" s="23" t="n">
        <v>45218</v>
      </c>
      <c r="C97" s="24" t="n">
        <f aca="false">IF(B97="","",DATE(YEAR(B97),MONTH(B97),1))</f>
        <v>45200</v>
      </c>
      <c r="D97" s="22" t="s">
        <v>103</v>
      </c>
      <c r="E97" s="22" t="s">
        <v>47</v>
      </c>
      <c r="F97" s="22" t="s">
        <v>104</v>
      </c>
      <c r="G97" s="22" t="s">
        <v>49</v>
      </c>
      <c r="H97" s="22" t="s">
        <v>50</v>
      </c>
      <c r="I97" s="22" t="s">
        <v>41</v>
      </c>
      <c r="J97" s="22" t="s">
        <v>51</v>
      </c>
      <c r="K97" s="22" t="s">
        <v>52</v>
      </c>
      <c r="L97" s="25" t="n">
        <v>50</v>
      </c>
      <c r="M97" s="25" t="n">
        <v>815</v>
      </c>
      <c r="N97" s="26" t="n">
        <f aca="false">IF(L97="","",L97*M97)</f>
        <v>40750</v>
      </c>
      <c r="O97" s="25" t="n">
        <v>585</v>
      </c>
      <c r="P97" s="26" t="n">
        <f aca="false">IF(L97="","",N97-L97*O97)</f>
        <v>11500</v>
      </c>
      <c r="Q97" s="27" t="n">
        <v>12</v>
      </c>
      <c r="R97" s="27" t="n">
        <v>9</v>
      </c>
      <c r="S97" s="22" t="s">
        <v>44</v>
      </c>
      <c r="T97" s="22" t="str">
        <f aca="false">IF(R97="","",IF(R97&lt;=Q97,"Yes","No"))</f>
        <v>Yes</v>
      </c>
      <c r="U97" s="22" t="str">
        <f aca="false">IF(B97="","",TEXT(YEAR(B97),"0"))</f>
        <v>2023</v>
      </c>
    </row>
    <row r="98" customFormat="false" ht="15" hidden="false" customHeight="false" outlineLevel="0" collapsed="false">
      <c r="A98" s="22" t="s">
        <v>248</v>
      </c>
      <c r="B98" s="23" t="n">
        <v>45220</v>
      </c>
      <c r="C98" s="24" t="n">
        <f aca="false">IF(B98="","",DATE(YEAR(B98),MONTH(B98),1))</f>
        <v>45200</v>
      </c>
      <c r="D98" s="22" t="s">
        <v>61</v>
      </c>
      <c r="E98" s="22" t="s">
        <v>37</v>
      </c>
      <c r="F98" s="22" t="s">
        <v>62</v>
      </c>
      <c r="G98" s="22" t="s">
        <v>99</v>
      </c>
      <c r="H98" s="22" t="s">
        <v>100</v>
      </c>
      <c r="I98" s="22" t="s">
        <v>101</v>
      </c>
      <c r="J98" s="22" t="s">
        <v>80</v>
      </c>
      <c r="K98" s="22" t="s">
        <v>67</v>
      </c>
      <c r="L98" s="25" t="n">
        <v>200</v>
      </c>
      <c r="M98" s="25" t="n">
        <v>1280</v>
      </c>
      <c r="N98" s="26" t="n">
        <f aca="false">IF(L98="","",L98*M98)</f>
        <v>256000</v>
      </c>
      <c r="O98" s="25" t="n">
        <v>916</v>
      </c>
      <c r="P98" s="26" t="n">
        <f aca="false">IF(L98="","",N98-L98*O98)</f>
        <v>72800</v>
      </c>
      <c r="Q98" s="27" t="n">
        <v>30</v>
      </c>
      <c r="R98" s="27" t="n">
        <v>30</v>
      </c>
      <c r="S98" s="22" t="s">
        <v>44</v>
      </c>
      <c r="T98" s="22" t="str">
        <f aca="false">IF(R98="","",IF(R98&lt;=Q98,"Yes","No"))</f>
        <v>Yes</v>
      </c>
      <c r="U98" s="22" t="str">
        <f aca="false">IF(B98="","",TEXT(YEAR(B98),"0"))</f>
        <v>2023</v>
      </c>
    </row>
    <row r="99" customFormat="false" ht="15" hidden="false" customHeight="false" outlineLevel="0" collapsed="false">
      <c r="A99" s="22" t="s">
        <v>249</v>
      </c>
      <c r="B99" s="23" t="n">
        <v>45222</v>
      </c>
      <c r="C99" s="24" t="n">
        <f aca="false">IF(B99="","",DATE(YEAR(B99),MONTH(B99),1))</f>
        <v>45200</v>
      </c>
      <c r="D99" s="22" t="s">
        <v>36</v>
      </c>
      <c r="E99" s="22" t="s">
        <v>37</v>
      </c>
      <c r="F99" s="22" t="s">
        <v>38</v>
      </c>
      <c r="G99" s="22" t="s">
        <v>211</v>
      </c>
      <c r="H99" s="22" t="s">
        <v>212</v>
      </c>
      <c r="I99" s="22" t="s">
        <v>213</v>
      </c>
      <c r="J99" s="22" t="s">
        <v>51</v>
      </c>
      <c r="K99" s="22" t="s">
        <v>43</v>
      </c>
      <c r="L99" s="25" t="n">
        <v>100</v>
      </c>
      <c r="M99" s="25" t="n">
        <v>805</v>
      </c>
      <c r="N99" s="26" t="n">
        <f aca="false">IF(L99="","",L99*M99)</f>
        <v>80500</v>
      </c>
      <c r="O99" s="25" t="n">
        <v>575</v>
      </c>
      <c r="P99" s="26" t="n">
        <f aca="false">IF(L99="","",N99-L99*O99)</f>
        <v>23000</v>
      </c>
      <c r="Q99" s="27" t="n">
        <v>21</v>
      </c>
      <c r="R99" s="27" t="n">
        <v>21</v>
      </c>
      <c r="S99" s="22" t="s">
        <v>44</v>
      </c>
      <c r="T99" s="22" t="str">
        <f aca="false">IF(R99="","",IF(R99&lt;=Q99,"Yes","No"))</f>
        <v>Yes</v>
      </c>
      <c r="U99" s="22" t="str">
        <f aca="false">IF(B99="","",TEXT(YEAR(B99),"0"))</f>
        <v>2023</v>
      </c>
    </row>
    <row r="100" customFormat="false" ht="15" hidden="false" customHeight="false" outlineLevel="0" collapsed="false">
      <c r="A100" s="22" t="s">
        <v>250</v>
      </c>
      <c r="B100" s="23" t="n">
        <v>45222</v>
      </c>
      <c r="C100" s="24" t="n">
        <f aca="false">IF(B100="","",DATE(YEAR(B100),MONTH(B100),1))</f>
        <v>45200</v>
      </c>
      <c r="D100" s="22" t="s">
        <v>36</v>
      </c>
      <c r="E100" s="22" t="s">
        <v>37</v>
      </c>
      <c r="F100" s="22" t="s">
        <v>38</v>
      </c>
      <c r="G100" s="22" t="s">
        <v>110</v>
      </c>
      <c r="H100" s="22" t="s">
        <v>111</v>
      </c>
      <c r="I100" s="22" t="s">
        <v>112</v>
      </c>
      <c r="J100" s="22" t="s">
        <v>113</v>
      </c>
      <c r="K100" s="22" t="s">
        <v>52</v>
      </c>
      <c r="L100" s="25" t="n">
        <v>50</v>
      </c>
      <c r="M100" s="25" t="n">
        <v>920</v>
      </c>
      <c r="N100" s="26" t="n">
        <f aca="false">IF(L100="","",L100*M100)</f>
        <v>46000</v>
      </c>
      <c r="O100" s="25" t="n">
        <v>648</v>
      </c>
      <c r="P100" s="26" t="n">
        <f aca="false">IF(L100="","",N100-L100*O100)</f>
        <v>13600</v>
      </c>
      <c r="Q100" s="27" t="n">
        <v>21</v>
      </c>
      <c r="R100" s="27" t="n">
        <v>22</v>
      </c>
      <c r="S100" s="22" t="s">
        <v>44</v>
      </c>
      <c r="T100" s="22" t="str">
        <f aca="false">IF(R100="","",IF(R100&lt;=Q100,"Yes","No"))</f>
        <v>No</v>
      </c>
      <c r="U100" s="22" t="str">
        <f aca="false">IF(B100="","",TEXT(YEAR(B100),"0"))</f>
        <v>2023</v>
      </c>
    </row>
    <row r="101" customFormat="false" ht="15" hidden="false" customHeight="false" outlineLevel="0" collapsed="false">
      <c r="A101" s="22" t="s">
        <v>251</v>
      </c>
      <c r="B101" s="23" t="n">
        <v>45224</v>
      </c>
      <c r="C101" s="24" t="n">
        <f aca="false">IF(B101="","",DATE(YEAR(B101),MONTH(B101),1))</f>
        <v>45200</v>
      </c>
      <c r="D101" s="22" t="s">
        <v>96</v>
      </c>
      <c r="E101" s="22" t="s">
        <v>47</v>
      </c>
      <c r="F101" s="22" t="s">
        <v>97</v>
      </c>
      <c r="G101" s="22" t="s">
        <v>73</v>
      </c>
      <c r="H101" s="22" t="s">
        <v>74</v>
      </c>
      <c r="I101" s="22" t="s">
        <v>75</v>
      </c>
      <c r="J101" s="22" t="s">
        <v>51</v>
      </c>
      <c r="K101" s="22" t="s">
        <v>130</v>
      </c>
      <c r="L101" s="25" t="n">
        <v>300</v>
      </c>
      <c r="M101" s="25" t="n">
        <v>810</v>
      </c>
      <c r="N101" s="26" t="n">
        <f aca="false">IF(L101="","",L101*M101)</f>
        <v>243000</v>
      </c>
      <c r="O101" s="25" t="n">
        <v>591</v>
      </c>
      <c r="P101" s="26" t="n">
        <f aca="false">IF(L101="","",N101-L101*O101)</f>
        <v>65700</v>
      </c>
      <c r="Q101" s="27" t="n">
        <v>12</v>
      </c>
      <c r="R101" s="27" t="n">
        <v>13</v>
      </c>
      <c r="S101" s="22" t="s">
        <v>44</v>
      </c>
      <c r="T101" s="22" t="str">
        <f aca="false">IF(R101="","",IF(R101&lt;=Q101,"Yes","No"))</f>
        <v>No</v>
      </c>
      <c r="U101" s="22" t="str">
        <f aca="false">IF(B101="","",TEXT(YEAR(B101),"0"))</f>
        <v>2023</v>
      </c>
    </row>
    <row r="102" customFormat="false" ht="15" hidden="false" customHeight="false" outlineLevel="0" collapsed="false">
      <c r="A102" s="22" t="s">
        <v>252</v>
      </c>
      <c r="B102" s="23" t="n">
        <v>45225</v>
      </c>
      <c r="C102" s="24" t="n">
        <f aca="false">IF(B102="","",DATE(YEAR(B102),MONTH(B102),1))</f>
        <v>45200</v>
      </c>
      <c r="D102" s="22" t="s">
        <v>36</v>
      </c>
      <c r="E102" s="22" t="s">
        <v>37</v>
      </c>
      <c r="F102" s="22" t="s">
        <v>38</v>
      </c>
      <c r="G102" s="22" t="s">
        <v>253</v>
      </c>
      <c r="H102" s="22" t="s">
        <v>254</v>
      </c>
      <c r="I102" s="22" t="s">
        <v>41</v>
      </c>
      <c r="J102" s="22" t="s">
        <v>42</v>
      </c>
      <c r="K102" s="22" t="s">
        <v>43</v>
      </c>
      <c r="L102" s="25" t="n">
        <v>200</v>
      </c>
      <c r="M102" s="25" t="n">
        <v>810</v>
      </c>
      <c r="N102" s="26" t="n">
        <f aca="false">IF(L102="","",L102*M102)</f>
        <v>162000</v>
      </c>
      <c r="O102" s="25" t="n">
        <v>611</v>
      </c>
      <c r="P102" s="26" t="n">
        <f aca="false">IF(L102="","",N102-L102*O102)</f>
        <v>39800</v>
      </c>
      <c r="Q102" s="27" t="n">
        <v>25</v>
      </c>
      <c r="R102" s="27" t="n">
        <v>23</v>
      </c>
      <c r="S102" s="22" t="s">
        <v>44</v>
      </c>
      <c r="T102" s="22" t="str">
        <f aca="false">IF(R102="","",IF(R102&lt;=Q102,"Yes","No"))</f>
        <v>Yes</v>
      </c>
      <c r="U102" s="22" t="str">
        <f aca="false">IF(B102="","",TEXT(YEAR(B102),"0"))</f>
        <v>2023</v>
      </c>
    </row>
    <row r="103" customFormat="false" ht="15" hidden="false" customHeight="false" outlineLevel="0" collapsed="false">
      <c r="A103" s="22" t="s">
        <v>255</v>
      </c>
      <c r="B103" s="23" t="n">
        <v>45225</v>
      </c>
      <c r="C103" s="24" t="n">
        <f aca="false">IF(B103="","",DATE(YEAR(B103),MONTH(B103),1))</f>
        <v>45200</v>
      </c>
      <c r="D103" s="22" t="s">
        <v>71</v>
      </c>
      <c r="E103" s="22" t="s">
        <v>37</v>
      </c>
      <c r="F103" s="22" t="s">
        <v>72</v>
      </c>
      <c r="G103" s="22" t="s">
        <v>99</v>
      </c>
      <c r="H103" s="22" t="s">
        <v>100</v>
      </c>
      <c r="I103" s="22" t="s">
        <v>101</v>
      </c>
      <c r="J103" s="22" t="s">
        <v>80</v>
      </c>
      <c r="K103" s="22" t="s">
        <v>67</v>
      </c>
      <c r="L103" s="25" t="n">
        <v>100</v>
      </c>
      <c r="M103" s="25" t="n">
        <v>1360</v>
      </c>
      <c r="N103" s="26" t="n">
        <f aca="false">IF(L103="","",L103*M103)</f>
        <v>136000</v>
      </c>
      <c r="O103" s="25" t="n">
        <v>886</v>
      </c>
      <c r="P103" s="26" t="n">
        <f aca="false">IF(L103="","",N103-L103*O103)</f>
        <v>47400</v>
      </c>
      <c r="Q103" s="27" t="n">
        <v>21</v>
      </c>
      <c r="R103" s="27" t="n">
        <v>23</v>
      </c>
      <c r="S103" s="22" t="s">
        <v>44</v>
      </c>
      <c r="T103" s="22" t="str">
        <f aca="false">IF(R103="","",IF(R103&lt;=Q103,"Yes","No"))</f>
        <v>No</v>
      </c>
      <c r="U103" s="22" t="str">
        <f aca="false">IF(B103="","",TEXT(YEAR(B103),"0"))</f>
        <v>2023</v>
      </c>
    </row>
    <row r="104" customFormat="false" ht="15" hidden="false" customHeight="false" outlineLevel="0" collapsed="false">
      <c r="A104" s="22" t="s">
        <v>256</v>
      </c>
      <c r="B104" s="23" t="n">
        <v>45227</v>
      </c>
      <c r="C104" s="24" t="n">
        <f aca="false">IF(B104="","",DATE(YEAR(B104),MONTH(B104),1))</f>
        <v>45200</v>
      </c>
      <c r="D104" s="22" t="s">
        <v>46</v>
      </c>
      <c r="E104" s="22" t="s">
        <v>47</v>
      </c>
      <c r="F104" s="22" t="s">
        <v>48</v>
      </c>
      <c r="G104" s="22" t="s">
        <v>257</v>
      </c>
      <c r="H104" s="22" t="s">
        <v>258</v>
      </c>
      <c r="I104" s="22" t="s">
        <v>259</v>
      </c>
      <c r="J104" s="22" t="s">
        <v>122</v>
      </c>
      <c r="K104" s="22" t="s">
        <v>52</v>
      </c>
      <c r="L104" s="25" t="n">
        <v>200</v>
      </c>
      <c r="M104" s="25" t="n">
        <v>1080</v>
      </c>
      <c r="N104" s="26" t="n">
        <f aca="false">IF(L104="","",L104*M104)</f>
        <v>216000</v>
      </c>
      <c r="O104" s="25" t="n">
        <v>747</v>
      </c>
      <c r="P104" s="26" t="n">
        <f aca="false">IF(L104="","",N104-L104*O104)</f>
        <v>66600</v>
      </c>
      <c r="Q104" s="27" t="n">
        <v>12</v>
      </c>
      <c r="R104" s="27" t="n">
        <v>9</v>
      </c>
      <c r="S104" s="22" t="s">
        <v>44</v>
      </c>
      <c r="T104" s="22" t="str">
        <f aca="false">IF(R104="","",IF(R104&lt;=Q104,"Yes","No"))</f>
        <v>Yes</v>
      </c>
      <c r="U104" s="22" t="str">
        <f aca="false">IF(B104="","",TEXT(YEAR(B104),"0"))</f>
        <v>2023</v>
      </c>
    </row>
    <row r="105" customFormat="false" ht="15" hidden="false" customHeight="false" outlineLevel="0" collapsed="false">
      <c r="A105" s="22" t="s">
        <v>260</v>
      </c>
      <c r="B105" s="23" t="n">
        <v>45229</v>
      </c>
      <c r="C105" s="24" t="n">
        <f aca="false">IF(B105="","",DATE(YEAR(B105),MONTH(B105),1))</f>
        <v>45200</v>
      </c>
      <c r="D105" s="22" t="s">
        <v>61</v>
      </c>
      <c r="E105" s="22" t="s">
        <v>37</v>
      </c>
      <c r="F105" s="22" t="s">
        <v>62</v>
      </c>
      <c r="G105" s="22" t="s">
        <v>99</v>
      </c>
      <c r="H105" s="22" t="s">
        <v>100</v>
      </c>
      <c r="I105" s="22" t="s">
        <v>101</v>
      </c>
      <c r="J105" s="22" t="s">
        <v>80</v>
      </c>
      <c r="K105" s="22" t="s">
        <v>52</v>
      </c>
      <c r="L105" s="25" t="n">
        <v>500</v>
      </c>
      <c r="M105" s="25" t="n">
        <v>1225</v>
      </c>
      <c r="N105" s="26" t="n">
        <f aca="false">IF(L105="","",L105*M105)</f>
        <v>612500</v>
      </c>
      <c r="O105" s="25" t="n">
        <v>916</v>
      </c>
      <c r="P105" s="26" t="n">
        <f aca="false">IF(L105="","",N105-L105*O105)</f>
        <v>154500</v>
      </c>
      <c r="Q105" s="27" t="n">
        <v>21</v>
      </c>
      <c r="R105" s="27" t="n">
        <v>17</v>
      </c>
      <c r="S105" s="22" t="s">
        <v>44</v>
      </c>
      <c r="T105" s="22" t="str">
        <f aca="false">IF(R105="","",IF(R105&lt;=Q105,"Yes","No"))</f>
        <v>Yes</v>
      </c>
      <c r="U105" s="22" t="str">
        <f aca="false">IF(B105="","",TEXT(YEAR(B105),"0"))</f>
        <v>2023</v>
      </c>
    </row>
    <row r="106" customFormat="false" ht="15" hidden="false" customHeight="false" outlineLevel="0" collapsed="false">
      <c r="A106" s="22" t="s">
        <v>261</v>
      </c>
      <c r="B106" s="23" t="n">
        <v>45232</v>
      </c>
      <c r="C106" s="24" t="n">
        <f aca="false">IF(B106="","",DATE(YEAR(B106),MONTH(B106),1))</f>
        <v>45231</v>
      </c>
      <c r="D106" s="22" t="s">
        <v>71</v>
      </c>
      <c r="E106" s="22" t="s">
        <v>37</v>
      </c>
      <c r="F106" s="22" t="s">
        <v>72</v>
      </c>
      <c r="G106" s="22" t="s">
        <v>134</v>
      </c>
      <c r="H106" s="22" t="s">
        <v>135</v>
      </c>
      <c r="I106" s="22" t="s">
        <v>136</v>
      </c>
      <c r="J106" s="22" t="s">
        <v>66</v>
      </c>
      <c r="K106" s="22" t="s">
        <v>145</v>
      </c>
      <c r="L106" s="25" t="n">
        <v>100</v>
      </c>
      <c r="M106" s="25" t="n">
        <v>720</v>
      </c>
      <c r="N106" s="26" t="n">
        <f aca="false">IF(L106="","",L106*M106)</f>
        <v>72000</v>
      </c>
      <c r="O106" s="25" t="n">
        <v>543</v>
      </c>
      <c r="P106" s="26" t="n">
        <f aca="false">IF(L106="","",N106-L106*O106)</f>
        <v>17700</v>
      </c>
      <c r="Q106" s="27" t="n">
        <v>30</v>
      </c>
      <c r="R106" s="27" t="n">
        <v>34</v>
      </c>
      <c r="S106" s="22" t="s">
        <v>44</v>
      </c>
      <c r="T106" s="22" t="str">
        <f aca="false">IF(R106="","",IF(R106&lt;=Q106,"Yes","No"))</f>
        <v>No</v>
      </c>
      <c r="U106" s="22" t="str">
        <f aca="false">IF(B106="","",TEXT(YEAR(B106),"0"))</f>
        <v>2023</v>
      </c>
    </row>
    <row r="107" customFormat="false" ht="15" hidden="false" customHeight="false" outlineLevel="0" collapsed="false">
      <c r="A107" s="22" t="s">
        <v>262</v>
      </c>
      <c r="B107" s="23" t="n">
        <v>45236</v>
      </c>
      <c r="C107" s="24" t="n">
        <f aca="false">IF(B107="","",DATE(YEAR(B107),MONTH(B107),1))</f>
        <v>45231</v>
      </c>
      <c r="D107" s="22" t="s">
        <v>71</v>
      </c>
      <c r="E107" s="22" t="s">
        <v>37</v>
      </c>
      <c r="F107" s="22" t="s">
        <v>72</v>
      </c>
      <c r="G107" s="22" t="s">
        <v>82</v>
      </c>
      <c r="H107" s="22" t="s">
        <v>83</v>
      </c>
      <c r="I107" s="22" t="s">
        <v>41</v>
      </c>
      <c r="J107" s="22" t="s">
        <v>66</v>
      </c>
      <c r="K107" s="22" t="s">
        <v>130</v>
      </c>
      <c r="L107" s="25" t="n">
        <v>25</v>
      </c>
      <c r="M107" s="25" t="n">
        <v>640</v>
      </c>
      <c r="N107" s="26" t="n">
        <f aca="false">IF(L107="","",L107*M107)</f>
        <v>16000</v>
      </c>
      <c r="O107" s="25" t="n">
        <v>504</v>
      </c>
      <c r="P107" s="26" t="n">
        <f aca="false">IF(L107="","",N107-L107*O107)</f>
        <v>3400</v>
      </c>
      <c r="Q107" s="27" t="n">
        <v>25</v>
      </c>
      <c r="R107" s="27" t="n">
        <v>24</v>
      </c>
      <c r="S107" s="22" t="s">
        <v>44</v>
      </c>
      <c r="T107" s="22" t="str">
        <f aca="false">IF(R107="","",IF(R107&lt;=Q107,"Yes","No"))</f>
        <v>Yes</v>
      </c>
      <c r="U107" s="22" t="str">
        <f aca="false">IF(B107="","",TEXT(YEAR(B107),"0"))</f>
        <v>2023</v>
      </c>
    </row>
    <row r="108" customFormat="false" ht="15" hidden="false" customHeight="false" outlineLevel="0" collapsed="false">
      <c r="A108" s="22" t="s">
        <v>263</v>
      </c>
      <c r="B108" s="23" t="n">
        <v>45237</v>
      </c>
      <c r="C108" s="24" t="n">
        <f aca="false">IF(B108="","",DATE(YEAR(B108),MONTH(B108),1))</f>
        <v>45231</v>
      </c>
      <c r="D108" s="22" t="s">
        <v>46</v>
      </c>
      <c r="E108" s="22" t="s">
        <v>47</v>
      </c>
      <c r="F108" s="22" t="s">
        <v>48</v>
      </c>
      <c r="G108" s="22" t="s">
        <v>110</v>
      </c>
      <c r="H108" s="22" t="s">
        <v>111</v>
      </c>
      <c r="I108" s="22" t="s">
        <v>112</v>
      </c>
      <c r="J108" s="22" t="s">
        <v>113</v>
      </c>
      <c r="K108" s="22" t="s">
        <v>43</v>
      </c>
      <c r="L108" s="25" t="n">
        <v>200</v>
      </c>
      <c r="M108" s="25" t="n">
        <v>930</v>
      </c>
      <c r="N108" s="26" t="n">
        <f aca="false">IF(L108="","",L108*M108)</f>
        <v>186000</v>
      </c>
      <c r="O108" s="25" t="n">
        <v>656</v>
      </c>
      <c r="P108" s="26" t="n">
        <f aca="false">IF(L108="","",N108-L108*O108)</f>
        <v>54800</v>
      </c>
      <c r="Q108" s="27" t="n">
        <v>15</v>
      </c>
      <c r="R108" s="27" t="n">
        <v>13</v>
      </c>
      <c r="S108" s="22" t="s">
        <v>44</v>
      </c>
      <c r="T108" s="22" t="str">
        <f aca="false">IF(R108="","",IF(R108&lt;=Q108,"Yes","No"))</f>
        <v>Yes</v>
      </c>
      <c r="U108" s="22" t="str">
        <f aca="false">IF(B108="","",TEXT(YEAR(B108),"0"))</f>
        <v>2023</v>
      </c>
    </row>
    <row r="109" customFormat="false" ht="15" hidden="false" customHeight="false" outlineLevel="0" collapsed="false">
      <c r="A109" s="22" t="s">
        <v>264</v>
      </c>
      <c r="B109" s="23" t="n">
        <v>45239</v>
      </c>
      <c r="C109" s="24" t="n">
        <f aca="false">IF(B109="","",DATE(YEAR(B109),MONTH(B109),1))</f>
        <v>45231</v>
      </c>
      <c r="D109" s="22" t="s">
        <v>133</v>
      </c>
      <c r="E109" s="22" t="s">
        <v>47</v>
      </c>
      <c r="F109" s="22" t="s">
        <v>104</v>
      </c>
      <c r="G109" s="22" t="s">
        <v>82</v>
      </c>
      <c r="H109" s="22" t="s">
        <v>83</v>
      </c>
      <c r="I109" s="22" t="s">
        <v>41</v>
      </c>
      <c r="J109" s="22" t="s">
        <v>66</v>
      </c>
      <c r="K109" s="22" t="s">
        <v>105</v>
      </c>
      <c r="L109" s="25" t="n">
        <v>100</v>
      </c>
      <c r="M109" s="25" t="n">
        <v>660</v>
      </c>
      <c r="N109" s="26" t="n">
        <f aca="false">IF(L109="","",L109*M109)</f>
        <v>66000</v>
      </c>
      <c r="O109" s="25" t="n">
        <v>500</v>
      </c>
      <c r="P109" s="26" t="n">
        <f aca="false">IF(L109="","",N109-L109*O109)</f>
        <v>16000</v>
      </c>
      <c r="Q109" s="27" t="n">
        <v>10</v>
      </c>
      <c r="R109" s="27" t="n">
        <v>8</v>
      </c>
      <c r="S109" s="22" t="s">
        <v>44</v>
      </c>
      <c r="T109" s="22" t="str">
        <f aca="false">IF(R109="","",IF(R109&lt;=Q109,"Yes","No"))</f>
        <v>Yes</v>
      </c>
      <c r="U109" s="22" t="str">
        <f aca="false">IF(B109="","",TEXT(YEAR(B109),"0"))</f>
        <v>2023</v>
      </c>
    </row>
    <row r="110" customFormat="false" ht="15" hidden="false" customHeight="false" outlineLevel="0" collapsed="false">
      <c r="A110" s="22" t="s">
        <v>265</v>
      </c>
      <c r="B110" s="23" t="n">
        <v>45239</v>
      </c>
      <c r="C110" s="24" t="n">
        <f aca="false">IF(B110="","",DATE(YEAR(B110),MONTH(B110),1))</f>
        <v>45231</v>
      </c>
      <c r="D110" s="22" t="s">
        <v>54</v>
      </c>
      <c r="E110" s="22" t="s">
        <v>47</v>
      </c>
      <c r="F110" s="22" t="s">
        <v>55</v>
      </c>
      <c r="G110" s="22" t="s">
        <v>63</v>
      </c>
      <c r="H110" s="22" t="s">
        <v>64</v>
      </c>
      <c r="I110" s="22" t="s">
        <v>65</v>
      </c>
      <c r="J110" s="22" t="s">
        <v>66</v>
      </c>
      <c r="K110" s="22" t="s">
        <v>59</v>
      </c>
      <c r="L110" s="25" t="n">
        <v>25</v>
      </c>
      <c r="M110" s="25" t="n">
        <v>740</v>
      </c>
      <c r="N110" s="26" t="n">
        <f aca="false">IF(L110="","",L110*M110)</f>
        <v>18500</v>
      </c>
      <c r="O110" s="25" t="n">
        <v>545</v>
      </c>
      <c r="P110" s="26" t="n">
        <f aca="false">IF(L110="","",N110-L110*O110)</f>
        <v>4875</v>
      </c>
      <c r="Q110" s="27" t="n">
        <v>12</v>
      </c>
      <c r="R110" s="27" t="n">
        <v>12</v>
      </c>
      <c r="S110" s="22" t="s">
        <v>44</v>
      </c>
      <c r="T110" s="22" t="str">
        <f aca="false">IF(R110="","",IF(R110&lt;=Q110,"Yes","No"))</f>
        <v>Yes</v>
      </c>
      <c r="U110" s="22" t="str">
        <f aca="false">IF(B110="","",TEXT(YEAR(B110),"0"))</f>
        <v>2023</v>
      </c>
    </row>
    <row r="111" customFormat="false" ht="15" hidden="false" customHeight="false" outlineLevel="0" collapsed="false">
      <c r="A111" s="22" t="s">
        <v>266</v>
      </c>
      <c r="B111" s="23" t="n">
        <v>45239</v>
      </c>
      <c r="C111" s="24" t="n">
        <f aca="false">IF(B111="","",DATE(YEAR(B111),MONTH(B111),1))</f>
        <v>45231</v>
      </c>
      <c r="D111" s="22" t="s">
        <v>69</v>
      </c>
      <c r="E111" s="22" t="s">
        <v>37</v>
      </c>
      <c r="F111" s="22" t="s">
        <v>62</v>
      </c>
      <c r="G111" s="22" t="s">
        <v>82</v>
      </c>
      <c r="H111" s="22" t="s">
        <v>83</v>
      </c>
      <c r="I111" s="22" t="s">
        <v>41</v>
      </c>
      <c r="J111" s="22" t="s">
        <v>66</v>
      </c>
      <c r="K111" s="22" t="s">
        <v>145</v>
      </c>
      <c r="L111" s="25" t="n">
        <v>50</v>
      </c>
      <c r="M111" s="25" t="n">
        <v>665</v>
      </c>
      <c r="N111" s="26" t="n">
        <f aca="false">IF(L111="","",L111*M111)</f>
        <v>33250</v>
      </c>
      <c r="O111" s="25" t="n">
        <v>498</v>
      </c>
      <c r="P111" s="26" t="n">
        <f aca="false">IF(L111="","",N111-L111*O111)</f>
        <v>8350</v>
      </c>
      <c r="Q111" s="27" t="n">
        <v>30</v>
      </c>
      <c r="R111" s="27" t="n">
        <v>28</v>
      </c>
      <c r="S111" s="22" t="s">
        <v>44</v>
      </c>
      <c r="T111" s="22" t="str">
        <f aca="false">IF(R111="","",IF(R111&lt;=Q111,"Yes","No"))</f>
        <v>Yes</v>
      </c>
      <c r="U111" s="22" t="str">
        <f aca="false">IF(B111="","",TEXT(YEAR(B111),"0"))</f>
        <v>2023</v>
      </c>
    </row>
    <row r="112" customFormat="false" ht="15" hidden="false" customHeight="false" outlineLevel="0" collapsed="false">
      <c r="A112" s="22" t="s">
        <v>267</v>
      </c>
      <c r="B112" s="23" t="n">
        <v>45244</v>
      </c>
      <c r="C112" s="24" t="n">
        <f aca="false">IF(B112="","",DATE(YEAR(B112),MONTH(B112),1))</f>
        <v>45231</v>
      </c>
      <c r="D112" s="22" t="s">
        <v>103</v>
      </c>
      <c r="E112" s="22" t="s">
        <v>47</v>
      </c>
      <c r="F112" s="22" t="s">
        <v>104</v>
      </c>
      <c r="G112" s="22" t="s">
        <v>116</v>
      </c>
      <c r="H112" s="22" t="s">
        <v>117</v>
      </c>
      <c r="I112" s="22" t="s">
        <v>41</v>
      </c>
      <c r="J112" s="22" t="s">
        <v>80</v>
      </c>
      <c r="K112" s="22" t="s">
        <v>76</v>
      </c>
      <c r="L112" s="25" t="n">
        <v>25</v>
      </c>
      <c r="M112" s="25" t="n">
        <v>1295</v>
      </c>
      <c r="N112" s="26" t="n">
        <f aca="false">IF(L112="","",L112*M112)</f>
        <v>32375</v>
      </c>
      <c r="O112" s="25" t="n">
        <v>851</v>
      </c>
      <c r="P112" s="26" t="n">
        <f aca="false">IF(L112="","",N112-L112*O112)</f>
        <v>11100</v>
      </c>
      <c r="Q112" s="27" t="n">
        <v>15</v>
      </c>
      <c r="R112" s="27" t="n">
        <v>10</v>
      </c>
      <c r="S112" s="22" t="s">
        <v>44</v>
      </c>
      <c r="T112" s="22" t="str">
        <f aca="false">IF(R112="","",IF(R112&lt;=Q112,"Yes","No"))</f>
        <v>Yes</v>
      </c>
      <c r="U112" s="22" t="str">
        <f aca="false">IF(B112="","",TEXT(YEAR(B112),"0"))</f>
        <v>2023</v>
      </c>
    </row>
    <row r="113" customFormat="false" ht="15" hidden="false" customHeight="false" outlineLevel="0" collapsed="false">
      <c r="A113" s="22" t="s">
        <v>268</v>
      </c>
      <c r="B113" s="23" t="n">
        <v>45247</v>
      </c>
      <c r="C113" s="24" t="n">
        <f aca="false">IF(B113="","",DATE(YEAR(B113),MONTH(B113),1))</f>
        <v>45231</v>
      </c>
      <c r="D113" s="22" t="s">
        <v>103</v>
      </c>
      <c r="E113" s="22" t="s">
        <v>47</v>
      </c>
      <c r="F113" s="22" t="s">
        <v>104</v>
      </c>
      <c r="G113" s="22" t="s">
        <v>257</v>
      </c>
      <c r="H113" s="22" t="s">
        <v>258</v>
      </c>
      <c r="I113" s="22" t="s">
        <v>259</v>
      </c>
      <c r="J113" s="22" t="s">
        <v>122</v>
      </c>
      <c r="K113" s="22" t="s">
        <v>43</v>
      </c>
      <c r="L113" s="25" t="n">
        <v>500</v>
      </c>
      <c r="M113" s="25" t="n">
        <v>1045</v>
      </c>
      <c r="N113" s="26" t="n">
        <f aca="false">IF(L113="","",L113*M113)</f>
        <v>522500</v>
      </c>
      <c r="O113" s="25" t="n">
        <v>740</v>
      </c>
      <c r="P113" s="26" t="n">
        <f aca="false">IF(L113="","",N113-L113*O113)</f>
        <v>152500</v>
      </c>
      <c r="Q113" s="27" t="n">
        <v>10</v>
      </c>
      <c r="R113" s="27" t="n">
        <v>12</v>
      </c>
      <c r="S113" s="22" t="s">
        <v>44</v>
      </c>
      <c r="T113" s="22" t="str">
        <f aca="false">IF(R113="","",IF(R113&lt;=Q113,"Yes","No"))</f>
        <v>No</v>
      </c>
      <c r="U113" s="22" t="str">
        <f aca="false">IF(B113="","",TEXT(YEAR(B113),"0"))</f>
        <v>2023</v>
      </c>
    </row>
    <row r="114" customFormat="false" ht="15" hidden="false" customHeight="false" outlineLevel="0" collapsed="false">
      <c r="A114" s="22" t="s">
        <v>269</v>
      </c>
      <c r="B114" s="23" t="n">
        <v>45248</v>
      </c>
      <c r="C114" s="24" t="n">
        <f aca="false">IF(B114="","",DATE(YEAR(B114),MONTH(B114),1))</f>
        <v>45231</v>
      </c>
      <c r="D114" s="22" t="s">
        <v>54</v>
      </c>
      <c r="E114" s="22" t="s">
        <v>47</v>
      </c>
      <c r="F114" s="22" t="s">
        <v>55</v>
      </c>
      <c r="G114" s="22" t="s">
        <v>82</v>
      </c>
      <c r="H114" s="22" t="s">
        <v>83</v>
      </c>
      <c r="I114" s="22" t="s">
        <v>41</v>
      </c>
      <c r="J114" s="22" t="s">
        <v>66</v>
      </c>
      <c r="K114" s="22" t="s">
        <v>145</v>
      </c>
      <c r="L114" s="25" t="n">
        <v>25</v>
      </c>
      <c r="M114" s="25" t="n">
        <v>650</v>
      </c>
      <c r="N114" s="26" t="n">
        <f aca="false">IF(L114="","",L114*M114)</f>
        <v>16250</v>
      </c>
      <c r="O114" s="25" t="n">
        <v>506</v>
      </c>
      <c r="P114" s="26" t="n">
        <f aca="false">IF(L114="","",N114-L114*O114)</f>
        <v>3600</v>
      </c>
      <c r="Q114" s="27" t="n">
        <v>15</v>
      </c>
      <c r="R114" s="27" t="n">
        <v>9</v>
      </c>
      <c r="S114" s="22" t="s">
        <v>44</v>
      </c>
      <c r="T114" s="22" t="str">
        <f aca="false">IF(R114="","",IF(R114&lt;=Q114,"Yes","No"))</f>
        <v>Yes</v>
      </c>
      <c r="U114" s="22" t="str">
        <f aca="false">IF(B114="","",TEXT(YEAR(B114),"0"))</f>
        <v>2023</v>
      </c>
    </row>
    <row r="115" customFormat="false" ht="15" hidden="false" customHeight="false" outlineLevel="0" collapsed="false">
      <c r="A115" s="22" t="s">
        <v>270</v>
      </c>
      <c r="B115" s="23" t="n">
        <v>45251</v>
      </c>
      <c r="C115" s="24" t="n">
        <f aca="false">IF(B115="","",DATE(YEAR(B115),MONTH(B115),1))</f>
        <v>45231</v>
      </c>
      <c r="D115" s="22" t="s">
        <v>108</v>
      </c>
      <c r="E115" s="22" t="s">
        <v>37</v>
      </c>
      <c r="F115" s="22" t="s">
        <v>109</v>
      </c>
      <c r="G115" s="22" t="s">
        <v>162</v>
      </c>
      <c r="H115" s="22" t="s">
        <v>163</v>
      </c>
      <c r="I115" s="22" t="s">
        <v>164</v>
      </c>
      <c r="J115" s="22" t="s">
        <v>122</v>
      </c>
      <c r="K115" s="22" t="s">
        <v>67</v>
      </c>
      <c r="L115" s="25" t="n">
        <v>300</v>
      </c>
      <c r="M115" s="25" t="n">
        <v>1115</v>
      </c>
      <c r="N115" s="26" t="n">
        <f aca="false">IF(L115="","",L115*M115)</f>
        <v>334500</v>
      </c>
      <c r="O115" s="25" t="n">
        <v>791</v>
      </c>
      <c r="P115" s="26" t="n">
        <f aca="false">IF(L115="","",N115-L115*O115)</f>
        <v>97200</v>
      </c>
      <c r="Q115" s="27" t="n">
        <v>25</v>
      </c>
      <c r="R115" s="27" t="n">
        <v>25</v>
      </c>
      <c r="S115" s="22" t="s">
        <v>44</v>
      </c>
      <c r="T115" s="22" t="str">
        <f aca="false">IF(R115="","",IF(R115&lt;=Q115,"Yes","No"))</f>
        <v>Yes</v>
      </c>
      <c r="U115" s="22" t="str">
        <f aca="false">IF(B115="","",TEXT(YEAR(B115),"0"))</f>
        <v>2023</v>
      </c>
    </row>
    <row r="116" customFormat="false" ht="15" hidden="false" customHeight="false" outlineLevel="0" collapsed="false">
      <c r="A116" s="22" t="s">
        <v>271</v>
      </c>
      <c r="B116" s="23" t="n">
        <v>45251</v>
      </c>
      <c r="C116" s="24" t="n">
        <f aca="false">IF(B116="","",DATE(YEAR(B116),MONTH(B116),1))</f>
        <v>45231</v>
      </c>
      <c r="D116" s="22" t="s">
        <v>36</v>
      </c>
      <c r="E116" s="22" t="s">
        <v>37</v>
      </c>
      <c r="F116" s="22" t="s">
        <v>38</v>
      </c>
      <c r="G116" s="22" t="s">
        <v>162</v>
      </c>
      <c r="H116" s="22" t="s">
        <v>163</v>
      </c>
      <c r="I116" s="22" t="s">
        <v>164</v>
      </c>
      <c r="J116" s="22" t="s">
        <v>122</v>
      </c>
      <c r="K116" s="22" t="s">
        <v>52</v>
      </c>
      <c r="L116" s="25" t="n">
        <v>300</v>
      </c>
      <c r="M116" s="25" t="n">
        <v>1085</v>
      </c>
      <c r="N116" s="26" t="n">
        <f aca="false">IF(L116="","",L116*M116)</f>
        <v>325500</v>
      </c>
      <c r="O116" s="25" t="n">
        <v>798</v>
      </c>
      <c r="P116" s="26" t="n">
        <f aca="false">IF(L116="","",N116-L116*O116)</f>
        <v>86100</v>
      </c>
      <c r="Q116" s="27" t="n">
        <v>30</v>
      </c>
      <c r="R116" s="27" t="n">
        <v>25</v>
      </c>
      <c r="S116" s="22" t="s">
        <v>44</v>
      </c>
      <c r="T116" s="22" t="str">
        <f aca="false">IF(R116="","",IF(R116&lt;=Q116,"Yes","No"))</f>
        <v>Yes</v>
      </c>
      <c r="U116" s="22" t="str">
        <f aca="false">IF(B116="","",TEXT(YEAR(B116),"0"))</f>
        <v>2023</v>
      </c>
    </row>
    <row r="117" customFormat="false" ht="15" hidden="false" customHeight="false" outlineLevel="0" collapsed="false">
      <c r="A117" s="22" t="s">
        <v>272</v>
      </c>
      <c r="B117" s="23" t="n">
        <v>45253</v>
      </c>
      <c r="C117" s="24" t="n">
        <f aca="false">IF(B117="","",DATE(YEAR(B117),MONTH(B117),1))</f>
        <v>45231</v>
      </c>
      <c r="D117" s="22" t="s">
        <v>46</v>
      </c>
      <c r="E117" s="22" t="s">
        <v>47</v>
      </c>
      <c r="F117" s="22" t="s">
        <v>48</v>
      </c>
      <c r="G117" s="22" t="s">
        <v>63</v>
      </c>
      <c r="H117" s="22" t="s">
        <v>64</v>
      </c>
      <c r="I117" s="22" t="s">
        <v>65</v>
      </c>
      <c r="J117" s="22" t="s">
        <v>66</v>
      </c>
      <c r="K117" s="22" t="s">
        <v>67</v>
      </c>
      <c r="L117" s="25" t="n">
        <v>25</v>
      </c>
      <c r="M117" s="25" t="n">
        <v>760</v>
      </c>
      <c r="N117" s="26" t="n">
        <f aca="false">IF(L117="","",L117*M117)</f>
        <v>19000</v>
      </c>
      <c r="O117" s="25" t="n">
        <v>549</v>
      </c>
      <c r="P117" s="26" t="n">
        <f aca="false">IF(L117="","",N117-L117*O117)</f>
        <v>5275</v>
      </c>
      <c r="Q117" s="27" t="n">
        <v>12</v>
      </c>
      <c r="R117" s="27" t="n">
        <v>10</v>
      </c>
      <c r="S117" s="22" t="s">
        <v>44</v>
      </c>
      <c r="T117" s="22" t="str">
        <f aca="false">IF(R117="","",IF(R117&lt;=Q117,"Yes","No"))</f>
        <v>Yes</v>
      </c>
      <c r="U117" s="22" t="str">
        <f aca="false">IF(B117="","",TEXT(YEAR(B117),"0"))</f>
        <v>2023</v>
      </c>
    </row>
    <row r="118" customFormat="false" ht="15" hidden="false" customHeight="false" outlineLevel="0" collapsed="false">
      <c r="A118" s="22" t="s">
        <v>273</v>
      </c>
      <c r="B118" s="23" t="n">
        <v>45254</v>
      </c>
      <c r="C118" s="24" t="n">
        <f aca="false">IF(B118="","",DATE(YEAR(B118),MONTH(B118),1))</f>
        <v>45231</v>
      </c>
      <c r="D118" s="22" t="s">
        <v>46</v>
      </c>
      <c r="E118" s="22" t="s">
        <v>47</v>
      </c>
      <c r="F118" s="22" t="s">
        <v>48</v>
      </c>
      <c r="G118" s="22" t="s">
        <v>56</v>
      </c>
      <c r="H118" s="22" t="s">
        <v>57</v>
      </c>
      <c r="I118" s="22" t="s">
        <v>58</v>
      </c>
      <c r="J118" s="22" t="s">
        <v>51</v>
      </c>
      <c r="K118" s="22" t="s">
        <v>67</v>
      </c>
      <c r="L118" s="25" t="n">
        <v>100</v>
      </c>
      <c r="M118" s="25" t="n">
        <v>760</v>
      </c>
      <c r="N118" s="26" t="n">
        <f aca="false">IF(L118="","",L118*M118)</f>
        <v>76000</v>
      </c>
      <c r="O118" s="25" t="n">
        <v>559</v>
      </c>
      <c r="P118" s="26" t="n">
        <f aca="false">IF(L118="","",N118-L118*O118)</f>
        <v>20100</v>
      </c>
      <c r="Q118" s="27" t="n">
        <v>10</v>
      </c>
      <c r="R118" s="27" t="n">
        <v>13</v>
      </c>
      <c r="S118" s="22" t="s">
        <v>44</v>
      </c>
      <c r="T118" s="22" t="str">
        <f aca="false">IF(R118="","",IF(R118&lt;=Q118,"Yes","No"))</f>
        <v>No</v>
      </c>
      <c r="U118" s="22" t="str">
        <f aca="false">IF(B118="","",TEXT(YEAR(B118),"0"))</f>
        <v>2023</v>
      </c>
    </row>
    <row r="119" customFormat="false" ht="15" hidden="false" customHeight="false" outlineLevel="0" collapsed="false">
      <c r="A119" s="22" t="s">
        <v>274</v>
      </c>
      <c r="B119" s="23" t="n">
        <v>45258</v>
      </c>
      <c r="C119" s="24" t="n">
        <f aca="false">IF(B119="","",DATE(YEAR(B119),MONTH(B119),1))</f>
        <v>45231</v>
      </c>
      <c r="D119" s="22" t="s">
        <v>46</v>
      </c>
      <c r="E119" s="22" t="s">
        <v>47</v>
      </c>
      <c r="F119" s="22" t="s">
        <v>48</v>
      </c>
      <c r="G119" s="22" t="s">
        <v>162</v>
      </c>
      <c r="H119" s="22" t="s">
        <v>163</v>
      </c>
      <c r="I119" s="22" t="s">
        <v>164</v>
      </c>
      <c r="J119" s="22" t="s">
        <v>122</v>
      </c>
      <c r="K119" s="22" t="s">
        <v>105</v>
      </c>
      <c r="L119" s="25" t="n">
        <v>100</v>
      </c>
      <c r="M119" s="25" t="n">
        <v>1145</v>
      </c>
      <c r="N119" s="26" t="n">
        <f aca="false">IF(L119="","",L119*M119)</f>
        <v>114500</v>
      </c>
      <c r="O119" s="25" t="n">
        <v>786</v>
      </c>
      <c r="P119" s="26" t="n">
        <f aca="false">IF(L119="","",N119-L119*O119)</f>
        <v>35900</v>
      </c>
      <c r="Q119" s="27" t="n">
        <v>12</v>
      </c>
      <c r="R119" s="27" t="n">
        <v>12</v>
      </c>
      <c r="S119" s="22" t="s">
        <v>44</v>
      </c>
      <c r="T119" s="22" t="str">
        <f aca="false">IF(R119="","",IF(R119&lt;=Q119,"Yes","No"))</f>
        <v>Yes</v>
      </c>
      <c r="U119" s="22" t="str">
        <f aca="false">IF(B119="","",TEXT(YEAR(B119),"0"))</f>
        <v>2023</v>
      </c>
    </row>
    <row r="120" customFormat="false" ht="15" hidden="false" customHeight="false" outlineLevel="0" collapsed="false">
      <c r="A120" s="22" t="s">
        <v>275</v>
      </c>
      <c r="B120" s="23" t="n">
        <v>45261</v>
      </c>
      <c r="C120" s="24" t="n">
        <f aca="false">IF(B120="","",DATE(YEAR(B120),MONTH(B120),1))</f>
        <v>45261</v>
      </c>
      <c r="D120" s="22" t="s">
        <v>69</v>
      </c>
      <c r="E120" s="22" t="s">
        <v>37</v>
      </c>
      <c r="F120" s="22" t="s">
        <v>62</v>
      </c>
      <c r="G120" s="22" t="s">
        <v>116</v>
      </c>
      <c r="H120" s="22" t="s">
        <v>117</v>
      </c>
      <c r="I120" s="22" t="s">
        <v>41</v>
      </c>
      <c r="J120" s="22" t="s">
        <v>80</v>
      </c>
      <c r="K120" s="22" t="s">
        <v>43</v>
      </c>
      <c r="L120" s="25" t="n">
        <v>50</v>
      </c>
      <c r="M120" s="25" t="n">
        <v>1300</v>
      </c>
      <c r="N120" s="26" t="n">
        <f aca="false">IF(L120="","",L120*M120)</f>
        <v>65000</v>
      </c>
      <c r="O120" s="25" t="n">
        <v>855</v>
      </c>
      <c r="P120" s="26" t="n">
        <f aca="false">IF(L120="","",N120-L120*O120)</f>
        <v>22250</v>
      </c>
      <c r="Q120" s="27" t="n">
        <v>30</v>
      </c>
      <c r="R120" s="27" t="n">
        <v>29</v>
      </c>
      <c r="S120" s="22" t="s">
        <v>44</v>
      </c>
      <c r="T120" s="22" t="str">
        <f aca="false">IF(R120="","",IF(R120&lt;=Q120,"Yes","No"))</f>
        <v>Yes</v>
      </c>
      <c r="U120" s="22" t="str">
        <f aca="false">IF(B120="","",TEXT(YEAR(B120),"0"))</f>
        <v>2023</v>
      </c>
    </row>
    <row r="121" customFormat="false" ht="15" hidden="false" customHeight="false" outlineLevel="0" collapsed="false">
      <c r="A121" s="22" t="s">
        <v>276</v>
      </c>
      <c r="B121" s="23" t="n">
        <v>45261</v>
      </c>
      <c r="C121" s="24" t="n">
        <f aca="false">IF(B121="","",DATE(YEAR(B121),MONTH(B121),1))</f>
        <v>45261</v>
      </c>
      <c r="D121" s="22" t="s">
        <v>46</v>
      </c>
      <c r="E121" s="22" t="s">
        <v>47</v>
      </c>
      <c r="F121" s="22" t="s">
        <v>48</v>
      </c>
      <c r="G121" s="22" t="s">
        <v>232</v>
      </c>
      <c r="H121" s="22" t="s">
        <v>233</v>
      </c>
      <c r="I121" s="22" t="s">
        <v>41</v>
      </c>
      <c r="J121" s="22" t="s">
        <v>234</v>
      </c>
      <c r="K121" s="22" t="s">
        <v>76</v>
      </c>
      <c r="L121" s="25" t="n">
        <v>100</v>
      </c>
      <c r="M121" s="25" t="n">
        <v>1205</v>
      </c>
      <c r="N121" s="26" t="n">
        <f aca="false">IF(L121="","",L121*M121)</f>
        <v>120500</v>
      </c>
      <c r="O121" s="25" t="n">
        <v>828</v>
      </c>
      <c r="P121" s="26" t="n">
        <f aca="false">IF(L121="","",N121-L121*O121)</f>
        <v>37700</v>
      </c>
      <c r="Q121" s="27" t="n">
        <v>12</v>
      </c>
      <c r="R121" s="27" t="n">
        <v>7</v>
      </c>
      <c r="S121" s="22" t="s">
        <v>44</v>
      </c>
      <c r="T121" s="22" t="str">
        <f aca="false">IF(R121="","",IF(R121&lt;=Q121,"Yes","No"))</f>
        <v>Yes</v>
      </c>
      <c r="U121" s="22" t="str">
        <f aca="false">IF(B121="","",TEXT(YEAR(B121),"0"))</f>
        <v>2023</v>
      </c>
    </row>
    <row r="122" customFormat="false" ht="15" hidden="false" customHeight="false" outlineLevel="0" collapsed="false">
      <c r="A122" s="22" t="s">
        <v>277</v>
      </c>
      <c r="B122" s="23" t="n">
        <v>45264</v>
      </c>
      <c r="C122" s="24" t="n">
        <f aca="false">IF(B122="","",DATE(YEAR(B122),MONTH(B122),1))</f>
        <v>45261</v>
      </c>
      <c r="D122" s="22" t="s">
        <v>103</v>
      </c>
      <c r="E122" s="22" t="s">
        <v>47</v>
      </c>
      <c r="F122" s="22" t="s">
        <v>104</v>
      </c>
      <c r="G122" s="22" t="s">
        <v>278</v>
      </c>
      <c r="H122" s="22" t="s">
        <v>279</v>
      </c>
      <c r="I122" s="22" t="s">
        <v>157</v>
      </c>
      <c r="J122" s="22" t="s">
        <v>122</v>
      </c>
      <c r="K122" s="22" t="s">
        <v>52</v>
      </c>
      <c r="L122" s="25" t="n">
        <v>25</v>
      </c>
      <c r="M122" s="25" t="n">
        <v>1135</v>
      </c>
      <c r="N122" s="26" t="n">
        <f aca="false">IF(L122="","",L122*M122)</f>
        <v>28375</v>
      </c>
      <c r="O122" s="25" t="n">
        <v>773</v>
      </c>
      <c r="P122" s="26" t="n">
        <f aca="false">IF(L122="","",N122-L122*O122)</f>
        <v>9050</v>
      </c>
      <c r="Q122" s="27" t="n">
        <v>12</v>
      </c>
      <c r="R122" s="27" t="n">
        <v>5</v>
      </c>
      <c r="S122" s="22" t="s">
        <v>44</v>
      </c>
      <c r="T122" s="22" t="str">
        <f aca="false">IF(R122="","",IF(R122&lt;=Q122,"Yes","No"))</f>
        <v>Yes</v>
      </c>
      <c r="U122" s="22" t="str">
        <f aca="false">IF(B122="","",TEXT(YEAR(B122),"0"))</f>
        <v>2023</v>
      </c>
    </row>
    <row r="123" customFormat="false" ht="15" hidden="false" customHeight="false" outlineLevel="0" collapsed="false">
      <c r="A123" s="22" t="s">
        <v>280</v>
      </c>
      <c r="B123" s="23" t="n">
        <v>45273</v>
      </c>
      <c r="C123" s="24" t="n">
        <f aca="false">IF(B123="","",DATE(YEAR(B123),MONTH(B123),1))</f>
        <v>45261</v>
      </c>
      <c r="D123" s="22" t="s">
        <v>36</v>
      </c>
      <c r="E123" s="22" t="s">
        <v>37</v>
      </c>
      <c r="F123" s="22" t="s">
        <v>38</v>
      </c>
      <c r="G123" s="22" t="s">
        <v>134</v>
      </c>
      <c r="H123" s="22" t="s">
        <v>135</v>
      </c>
      <c r="I123" s="22" t="s">
        <v>136</v>
      </c>
      <c r="J123" s="22" t="s">
        <v>66</v>
      </c>
      <c r="K123" s="22" t="s">
        <v>145</v>
      </c>
      <c r="L123" s="25" t="n">
        <v>50</v>
      </c>
      <c r="M123" s="25" t="n">
        <v>690</v>
      </c>
      <c r="N123" s="26" t="n">
        <f aca="false">IF(L123="","",L123*M123)</f>
        <v>34500</v>
      </c>
      <c r="O123" s="25" t="n">
        <v>542</v>
      </c>
      <c r="P123" s="26" t="n">
        <f aca="false">IF(L123="","",N123-L123*O123)</f>
        <v>7400</v>
      </c>
      <c r="Q123" s="27" t="n">
        <v>21</v>
      </c>
      <c r="R123" s="27" t="n">
        <v>21</v>
      </c>
      <c r="S123" s="22" t="s">
        <v>44</v>
      </c>
      <c r="T123" s="22" t="str">
        <f aca="false">IF(R123="","",IF(R123&lt;=Q123,"Yes","No"))</f>
        <v>Yes</v>
      </c>
      <c r="U123" s="22" t="str">
        <f aca="false">IF(B123="","",TEXT(YEAR(B123),"0"))</f>
        <v>2023</v>
      </c>
    </row>
    <row r="124" customFormat="false" ht="15" hidden="false" customHeight="false" outlineLevel="0" collapsed="false">
      <c r="A124" s="22" t="s">
        <v>281</v>
      </c>
      <c r="B124" s="23" t="n">
        <v>45274</v>
      </c>
      <c r="C124" s="24" t="n">
        <f aca="false">IF(B124="","",DATE(YEAR(B124),MONTH(B124),1))</f>
        <v>45261</v>
      </c>
      <c r="D124" s="22" t="s">
        <v>46</v>
      </c>
      <c r="E124" s="22" t="s">
        <v>47</v>
      </c>
      <c r="F124" s="22" t="s">
        <v>48</v>
      </c>
      <c r="G124" s="22" t="s">
        <v>282</v>
      </c>
      <c r="H124" s="22" t="s">
        <v>283</v>
      </c>
      <c r="I124" s="22" t="s">
        <v>284</v>
      </c>
      <c r="J124" s="22" t="s">
        <v>234</v>
      </c>
      <c r="K124" s="22" t="s">
        <v>43</v>
      </c>
      <c r="L124" s="25" t="n">
        <v>100</v>
      </c>
      <c r="M124" s="25" t="n">
        <v>1270</v>
      </c>
      <c r="N124" s="26" t="n">
        <f aca="false">IF(L124="","",L124*M124)</f>
        <v>127000</v>
      </c>
      <c r="O124" s="25" t="n">
        <v>872</v>
      </c>
      <c r="P124" s="26" t="n">
        <f aca="false">IF(L124="","",N124-L124*O124)</f>
        <v>39800</v>
      </c>
      <c r="Q124" s="27" t="n">
        <v>12</v>
      </c>
      <c r="R124" s="27" t="n">
        <v>7</v>
      </c>
      <c r="S124" s="22" t="s">
        <v>44</v>
      </c>
      <c r="T124" s="22" t="str">
        <f aca="false">IF(R124="","",IF(R124&lt;=Q124,"Yes","No"))</f>
        <v>Yes</v>
      </c>
      <c r="U124" s="22" t="str">
        <f aca="false">IF(B124="","",TEXT(YEAR(B124),"0"))</f>
        <v>2023</v>
      </c>
    </row>
    <row r="125" customFormat="false" ht="15" hidden="false" customHeight="false" outlineLevel="0" collapsed="false">
      <c r="A125" s="22" t="s">
        <v>285</v>
      </c>
      <c r="B125" s="23" t="n">
        <v>45275</v>
      </c>
      <c r="C125" s="24" t="n">
        <f aca="false">IF(B125="","",DATE(YEAR(B125),MONTH(B125),1))</f>
        <v>45261</v>
      </c>
      <c r="D125" s="22" t="s">
        <v>54</v>
      </c>
      <c r="E125" s="22" t="s">
        <v>47</v>
      </c>
      <c r="F125" s="22" t="s">
        <v>55</v>
      </c>
      <c r="G125" s="22" t="s">
        <v>73</v>
      </c>
      <c r="H125" s="22" t="s">
        <v>74</v>
      </c>
      <c r="I125" s="22" t="s">
        <v>75</v>
      </c>
      <c r="J125" s="22" t="s">
        <v>51</v>
      </c>
      <c r="K125" s="22" t="s">
        <v>59</v>
      </c>
      <c r="L125" s="25" t="n">
        <v>50</v>
      </c>
      <c r="M125" s="25" t="n">
        <v>870</v>
      </c>
      <c r="N125" s="26" t="n">
        <f aca="false">IF(L125="","",L125*M125)</f>
        <v>43500</v>
      </c>
      <c r="O125" s="25" t="n">
        <v>613</v>
      </c>
      <c r="P125" s="26" t="n">
        <f aca="false">IF(L125="","",N125-L125*O125)</f>
        <v>12850</v>
      </c>
      <c r="Q125" s="27" t="n">
        <v>15</v>
      </c>
      <c r="R125" s="27" t="n">
        <v>16</v>
      </c>
      <c r="S125" s="22" t="s">
        <v>44</v>
      </c>
      <c r="T125" s="22" t="str">
        <f aca="false">IF(R125="","",IF(R125&lt;=Q125,"Yes","No"))</f>
        <v>No</v>
      </c>
      <c r="U125" s="22" t="str">
        <f aca="false">IF(B125="","",TEXT(YEAR(B125),"0"))</f>
        <v>2023</v>
      </c>
    </row>
    <row r="126" customFormat="false" ht="15" hidden="false" customHeight="false" outlineLevel="0" collapsed="false">
      <c r="A126" s="22" t="s">
        <v>286</v>
      </c>
      <c r="B126" s="23" t="n">
        <v>45276</v>
      </c>
      <c r="C126" s="24" t="n">
        <f aca="false">IF(B126="","",DATE(YEAR(B126),MONTH(B126),1))</f>
        <v>45261</v>
      </c>
      <c r="D126" s="22" t="s">
        <v>69</v>
      </c>
      <c r="E126" s="22" t="s">
        <v>37</v>
      </c>
      <c r="F126" s="22" t="s">
        <v>62</v>
      </c>
      <c r="G126" s="22" t="s">
        <v>162</v>
      </c>
      <c r="H126" s="22" t="s">
        <v>163</v>
      </c>
      <c r="I126" s="22" t="s">
        <v>164</v>
      </c>
      <c r="J126" s="22" t="s">
        <v>122</v>
      </c>
      <c r="K126" s="22" t="s">
        <v>43</v>
      </c>
      <c r="L126" s="25" t="n">
        <v>25</v>
      </c>
      <c r="M126" s="25" t="n">
        <v>1155</v>
      </c>
      <c r="N126" s="26" t="n">
        <f aca="false">IF(L126="","",L126*M126)</f>
        <v>28875</v>
      </c>
      <c r="O126" s="25" t="n">
        <v>794</v>
      </c>
      <c r="P126" s="26" t="n">
        <f aca="false">IF(L126="","",N126-L126*O126)</f>
        <v>9025</v>
      </c>
      <c r="Q126" s="27" t="n">
        <v>25</v>
      </c>
      <c r="R126" s="27" t="n">
        <v>19</v>
      </c>
      <c r="S126" s="22" t="s">
        <v>44</v>
      </c>
      <c r="T126" s="22" t="str">
        <f aca="false">IF(R126="","",IF(R126&lt;=Q126,"Yes","No"))</f>
        <v>Yes</v>
      </c>
      <c r="U126" s="22" t="str">
        <f aca="false">IF(B126="","",TEXT(YEAR(B126),"0"))</f>
        <v>2023</v>
      </c>
    </row>
    <row r="127" customFormat="false" ht="15" hidden="false" customHeight="false" outlineLevel="0" collapsed="false">
      <c r="A127" s="22" t="s">
        <v>287</v>
      </c>
      <c r="B127" s="23" t="n">
        <v>45278</v>
      </c>
      <c r="C127" s="24" t="n">
        <f aca="false">IF(B127="","",DATE(YEAR(B127),MONTH(B127),1))</f>
        <v>45261</v>
      </c>
      <c r="D127" s="22" t="s">
        <v>103</v>
      </c>
      <c r="E127" s="22" t="s">
        <v>47</v>
      </c>
      <c r="F127" s="22" t="s">
        <v>104</v>
      </c>
      <c r="G127" s="22" t="s">
        <v>181</v>
      </c>
      <c r="H127" s="22" t="s">
        <v>182</v>
      </c>
      <c r="I127" s="22" t="s">
        <v>183</v>
      </c>
      <c r="J127" s="22" t="s">
        <v>122</v>
      </c>
      <c r="K127" s="22" t="s">
        <v>52</v>
      </c>
      <c r="L127" s="25" t="n">
        <v>25</v>
      </c>
      <c r="M127" s="25" t="n">
        <v>1025</v>
      </c>
      <c r="N127" s="26" t="n">
        <f aca="false">IF(L127="","",L127*M127)</f>
        <v>25625</v>
      </c>
      <c r="O127" s="25" t="n">
        <v>727</v>
      </c>
      <c r="P127" s="26" t="n">
        <f aca="false">IF(L127="","",N127-L127*O127)</f>
        <v>7450</v>
      </c>
      <c r="Q127" s="27" t="n">
        <v>10</v>
      </c>
      <c r="R127" s="27" t="n">
        <v>9</v>
      </c>
      <c r="S127" s="22" t="s">
        <v>44</v>
      </c>
      <c r="T127" s="22" t="str">
        <f aca="false">IF(R127="","",IF(R127&lt;=Q127,"Yes","No"))</f>
        <v>Yes</v>
      </c>
      <c r="U127" s="22" t="str">
        <f aca="false">IF(B127="","",TEXT(YEAR(B127),"0"))</f>
        <v>2023</v>
      </c>
    </row>
    <row r="128" customFormat="false" ht="15" hidden="false" customHeight="false" outlineLevel="0" collapsed="false">
      <c r="A128" s="22" t="s">
        <v>288</v>
      </c>
      <c r="B128" s="23" t="n">
        <v>45282</v>
      </c>
      <c r="C128" s="24" t="n">
        <f aca="false">IF(B128="","",DATE(YEAR(B128),MONTH(B128),1))</f>
        <v>45261</v>
      </c>
      <c r="D128" s="22" t="s">
        <v>133</v>
      </c>
      <c r="E128" s="22" t="s">
        <v>47</v>
      </c>
      <c r="F128" s="22" t="s">
        <v>104</v>
      </c>
      <c r="G128" s="22" t="s">
        <v>171</v>
      </c>
      <c r="H128" s="22" t="s">
        <v>172</v>
      </c>
      <c r="I128" s="22" t="s">
        <v>173</v>
      </c>
      <c r="J128" s="22" t="s">
        <v>113</v>
      </c>
      <c r="K128" s="22" t="s">
        <v>76</v>
      </c>
      <c r="L128" s="25" t="n">
        <v>50</v>
      </c>
      <c r="M128" s="25" t="n">
        <v>1035</v>
      </c>
      <c r="N128" s="26" t="n">
        <f aca="false">IF(L128="","",L128*M128)</f>
        <v>51750</v>
      </c>
      <c r="O128" s="25" t="n">
        <v>694</v>
      </c>
      <c r="P128" s="26" t="n">
        <f aca="false">IF(L128="","",N128-L128*O128)</f>
        <v>17050</v>
      </c>
      <c r="Q128" s="27" t="n">
        <v>12</v>
      </c>
      <c r="R128" s="27" t="n">
        <v>12</v>
      </c>
      <c r="S128" s="22" t="s">
        <v>44</v>
      </c>
      <c r="T128" s="22" t="str">
        <f aca="false">IF(R128="","",IF(R128&lt;=Q128,"Yes","No"))</f>
        <v>Yes</v>
      </c>
      <c r="U128" s="22" t="str">
        <f aca="false">IF(B128="","",TEXT(YEAR(B128),"0"))</f>
        <v>2023</v>
      </c>
    </row>
    <row r="129" customFormat="false" ht="15" hidden="false" customHeight="false" outlineLevel="0" collapsed="false">
      <c r="A129" s="22" t="s">
        <v>289</v>
      </c>
      <c r="B129" s="23" t="n">
        <v>45285</v>
      </c>
      <c r="C129" s="24" t="n">
        <f aca="false">IF(B129="","",DATE(YEAR(B129),MONTH(B129),1))</f>
        <v>45261</v>
      </c>
      <c r="D129" s="22" t="s">
        <v>61</v>
      </c>
      <c r="E129" s="22" t="s">
        <v>37</v>
      </c>
      <c r="F129" s="22" t="s">
        <v>62</v>
      </c>
      <c r="G129" s="22" t="s">
        <v>82</v>
      </c>
      <c r="H129" s="22" t="s">
        <v>83</v>
      </c>
      <c r="I129" s="22" t="s">
        <v>41</v>
      </c>
      <c r="J129" s="22" t="s">
        <v>66</v>
      </c>
      <c r="K129" s="22" t="s">
        <v>76</v>
      </c>
      <c r="L129" s="25" t="n">
        <v>200</v>
      </c>
      <c r="M129" s="25" t="n">
        <v>610</v>
      </c>
      <c r="N129" s="26" t="n">
        <f aca="false">IF(L129="","",L129*M129)</f>
        <v>122000</v>
      </c>
      <c r="O129" s="25" t="n">
        <v>501</v>
      </c>
      <c r="P129" s="26" t="n">
        <f aca="false">IF(L129="","",N129-L129*O129)</f>
        <v>21800</v>
      </c>
      <c r="Q129" s="27" t="n">
        <v>25</v>
      </c>
      <c r="R129" s="27" t="n">
        <v>22</v>
      </c>
      <c r="S129" s="22" t="s">
        <v>44</v>
      </c>
      <c r="T129" s="22" t="str">
        <f aca="false">IF(R129="","",IF(R129&lt;=Q129,"Yes","No"))</f>
        <v>Yes</v>
      </c>
      <c r="U129" s="22" t="str">
        <f aca="false">IF(B129="","",TEXT(YEAR(B129),"0"))</f>
        <v>2023</v>
      </c>
    </row>
    <row r="130" customFormat="false" ht="15" hidden="false" customHeight="false" outlineLevel="0" collapsed="false">
      <c r="A130" s="22" t="s">
        <v>290</v>
      </c>
      <c r="B130" s="23" t="n">
        <v>45286</v>
      </c>
      <c r="C130" s="24" t="n">
        <f aca="false">IF(B130="","",DATE(YEAR(B130),MONTH(B130),1))</f>
        <v>45261</v>
      </c>
      <c r="D130" s="22" t="s">
        <v>54</v>
      </c>
      <c r="E130" s="22" t="s">
        <v>47</v>
      </c>
      <c r="F130" s="22" t="s">
        <v>55</v>
      </c>
      <c r="G130" s="22" t="s">
        <v>253</v>
      </c>
      <c r="H130" s="22" t="s">
        <v>254</v>
      </c>
      <c r="I130" s="22" t="s">
        <v>41</v>
      </c>
      <c r="J130" s="22" t="s">
        <v>42</v>
      </c>
      <c r="K130" s="22" t="s">
        <v>59</v>
      </c>
      <c r="L130" s="25" t="n">
        <v>50</v>
      </c>
      <c r="M130" s="25" t="n">
        <v>890</v>
      </c>
      <c r="N130" s="26" t="n">
        <f aca="false">IF(L130="","",L130*M130)</f>
        <v>44500</v>
      </c>
      <c r="O130" s="25" t="n">
        <v>614</v>
      </c>
      <c r="P130" s="26" t="n">
        <f aca="false">IF(L130="","",N130-L130*O130)</f>
        <v>13800</v>
      </c>
      <c r="Q130" s="27" t="n">
        <v>15</v>
      </c>
      <c r="R130" s="27" t="n">
        <v>13</v>
      </c>
      <c r="S130" s="22" t="s">
        <v>44</v>
      </c>
      <c r="T130" s="22" t="str">
        <f aca="false">IF(R130="","",IF(R130&lt;=Q130,"Yes","No"))</f>
        <v>Yes</v>
      </c>
      <c r="U130" s="22" t="str">
        <f aca="false">IF(B130="","",TEXT(YEAR(B130),"0"))</f>
        <v>2023</v>
      </c>
    </row>
    <row r="131" customFormat="false" ht="15" hidden="false" customHeight="false" outlineLevel="0" collapsed="false">
      <c r="A131" s="22" t="s">
        <v>291</v>
      </c>
      <c r="B131" s="23" t="n">
        <v>45287</v>
      </c>
      <c r="C131" s="24" t="n">
        <f aca="false">IF(B131="","",DATE(YEAR(B131),MONTH(B131),1))</f>
        <v>45261</v>
      </c>
      <c r="D131" s="22" t="s">
        <v>61</v>
      </c>
      <c r="E131" s="22" t="s">
        <v>37</v>
      </c>
      <c r="F131" s="22" t="s">
        <v>62</v>
      </c>
      <c r="G131" s="22" t="s">
        <v>85</v>
      </c>
      <c r="H131" s="22" t="s">
        <v>86</v>
      </c>
      <c r="I131" s="22" t="s">
        <v>87</v>
      </c>
      <c r="J131" s="22" t="s">
        <v>51</v>
      </c>
      <c r="K131" s="22" t="s">
        <v>43</v>
      </c>
      <c r="L131" s="25" t="n">
        <v>200</v>
      </c>
      <c r="M131" s="25" t="n">
        <v>830</v>
      </c>
      <c r="N131" s="26" t="n">
        <f aca="false">IF(L131="","",L131*M131)</f>
        <v>166000</v>
      </c>
      <c r="O131" s="25" t="n">
        <v>625</v>
      </c>
      <c r="P131" s="26" t="n">
        <f aca="false">IF(L131="","",N131-L131*O131)</f>
        <v>41000</v>
      </c>
      <c r="Q131" s="27" t="n">
        <v>21</v>
      </c>
      <c r="R131" s="27" t="n">
        <v>20</v>
      </c>
      <c r="S131" s="22" t="s">
        <v>44</v>
      </c>
      <c r="T131" s="22" t="str">
        <f aca="false">IF(R131="","",IF(R131&lt;=Q131,"Yes","No"))</f>
        <v>Yes</v>
      </c>
      <c r="U131" s="22" t="str">
        <f aca="false">IF(B131="","",TEXT(YEAR(B131),"0"))</f>
        <v>2023</v>
      </c>
    </row>
    <row r="132" customFormat="false" ht="15" hidden="false" customHeight="false" outlineLevel="0" collapsed="false">
      <c r="A132" s="22" t="s">
        <v>292</v>
      </c>
      <c r="B132" s="23" t="n">
        <v>45287</v>
      </c>
      <c r="C132" s="24" t="n">
        <f aca="false">IF(B132="","",DATE(YEAR(B132),MONTH(B132),1))</f>
        <v>45261</v>
      </c>
      <c r="D132" s="22" t="s">
        <v>133</v>
      </c>
      <c r="E132" s="22" t="s">
        <v>47</v>
      </c>
      <c r="F132" s="22" t="s">
        <v>104</v>
      </c>
      <c r="G132" s="22" t="s">
        <v>85</v>
      </c>
      <c r="H132" s="22" t="s">
        <v>86</v>
      </c>
      <c r="I132" s="22" t="s">
        <v>87</v>
      </c>
      <c r="J132" s="22" t="s">
        <v>51</v>
      </c>
      <c r="K132" s="22" t="s">
        <v>76</v>
      </c>
      <c r="L132" s="25" t="n">
        <v>25</v>
      </c>
      <c r="M132" s="25" t="n">
        <v>875</v>
      </c>
      <c r="N132" s="26" t="n">
        <f aca="false">IF(L132="","",L132*M132)</f>
        <v>21875</v>
      </c>
      <c r="O132" s="25" t="n">
        <v>612</v>
      </c>
      <c r="P132" s="26" t="n">
        <f aca="false">IF(L132="","",N132-L132*O132)</f>
        <v>6575</v>
      </c>
      <c r="Q132" s="27" t="n">
        <v>15</v>
      </c>
      <c r="R132" s="27" t="n">
        <v>11</v>
      </c>
      <c r="S132" s="22" t="s">
        <v>44</v>
      </c>
      <c r="T132" s="22" t="str">
        <f aca="false">IF(R132="","",IF(R132&lt;=Q132,"Yes","No"))</f>
        <v>Yes</v>
      </c>
      <c r="U132" s="22" t="str">
        <f aca="false">IF(B132="","",TEXT(YEAR(B132),"0"))</f>
        <v>2023</v>
      </c>
    </row>
    <row r="133" customFormat="false" ht="15" hidden="false" customHeight="false" outlineLevel="0" collapsed="false">
      <c r="A133" s="22" t="s">
        <v>293</v>
      </c>
      <c r="B133" s="23" t="n">
        <v>45292</v>
      </c>
      <c r="C133" s="24" t="n">
        <f aca="false">IF(B133="","",DATE(YEAR(B133),MONTH(B133),1))</f>
        <v>45292</v>
      </c>
      <c r="D133" s="22" t="s">
        <v>36</v>
      </c>
      <c r="E133" s="22" t="s">
        <v>37</v>
      </c>
      <c r="F133" s="22" t="s">
        <v>38</v>
      </c>
      <c r="G133" s="22" t="s">
        <v>167</v>
      </c>
      <c r="H133" s="22" t="s">
        <v>168</v>
      </c>
      <c r="I133" s="22" t="s">
        <v>41</v>
      </c>
      <c r="J133" s="22" t="s">
        <v>150</v>
      </c>
      <c r="K133" s="22" t="s">
        <v>52</v>
      </c>
      <c r="L133" s="25" t="n">
        <v>100</v>
      </c>
      <c r="M133" s="25" t="n">
        <v>1010</v>
      </c>
      <c r="N133" s="26" t="n">
        <f aca="false">IF(L133="","",L133*M133)</f>
        <v>101000</v>
      </c>
      <c r="O133" s="25" t="n">
        <v>740</v>
      </c>
      <c r="P133" s="26" t="n">
        <f aca="false">IF(L133="","",N133-L133*O133)</f>
        <v>27000</v>
      </c>
      <c r="Q133" s="27" t="n">
        <v>21</v>
      </c>
      <c r="R133" s="27" t="n">
        <v>17</v>
      </c>
      <c r="S133" s="22" t="s">
        <v>44</v>
      </c>
      <c r="T133" s="22" t="str">
        <f aca="false">IF(R133="","",IF(R133&lt;=Q133,"Yes","No"))</f>
        <v>Yes</v>
      </c>
      <c r="U133" s="22" t="str">
        <f aca="false">IF(B133="","",TEXT(YEAR(B133),"0"))</f>
        <v>2024</v>
      </c>
    </row>
    <row r="134" customFormat="false" ht="15" hidden="false" customHeight="false" outlineLevel="0" collapsed="false">
      <c r="A134" s="22" t="s">
        <v>294</v>
      </c>
      <c r="B134" s="23" t="n">
        <v>45292</v>
      </c>
      <c r="C134" s="24" t="n">
        <f aca="false">IF(B134="","",DATE(YEAR(B134),MONTH(B134),1))</f>
        <v>45292</v>
      </c>
      <c r="D134" s="22" t="s">
        <v>96</v>
      </c>
      <c r="E134" s="22" t="s">
        <v>47</v>
      </c>
      <c r="F134" s="22" t="s">
        <v>97</v>
      </c>
      <c r="G134" s="22" t="s">
        <v>82</v>
      </c>
      <c r="H134" s="22" t="s">
        <v>83</v>
      </c>
      <c r="I134" s="22" t="s">
        <v>41</v>
      </c>
      <c r="J134" s="22" t="s">
        <v>66</v>
      </c>
      <c r="K134" s="22" t="s">
        <v>67</v>
      </c>
      <c r="L134" s="25" t="n">
        <v>50</v>
      </c>
      <c r="M134" s="25" t="n">
        <v>690</v>
      </c>
      <c r="N134" s="26" t="n">
        <f aca="false">IF(L134="","",L134*M134)</f>
        <v>34500</v>
      </c>
      <c r="O134" s="25" t="n">
        <v>497</v>
      </c>
      <c r="P134" s="26" t="n">
        <f aca="false">IF(L134="","",N134-L134*O134)</f>
        <v>9650</v>
      </c>
      <c r="Q134" s="27" t="n">
        <v>12</v>
      </c>
      <c r="R134" s="27" t="n">
        <v>12</v>
      </c>
      <c r="S134" s="22" t="s">
        <v>44</v>
      </c>
      <c r="T134" s="22" t="str">
        <f aca="false">IF(R134="","",IF(R134&lt;=Q134,"Yes","No"))</f>
        <v>Yes</v>
      </c>
      <c r="U134" s="22" t="str">
        <f aca="false">IF(B134="","",TEXT(YEAR(B134),"0"))</f>
        <v>2024</v>
      </c>
    </row>
    <row r="135" customFormat="false" ht="15" hidden="false" customHeight="false" outlineLevel="0" collapsed="false">
      <c r="A135" s="22" t="s">
        <v>295</v>
      </c>
      <c r="B135" s="23" t="n">
        <v>45292</v>
      </c>
      <c r="C135" s="24" t="n">
        <f aca="false">IF(B135="","",DATE(YEAR(B135),MONTH(B135),1))</f>
        <v>45292</v>
      </c>
      <c r="D135" s="22" t="s">
        <v>46</v>
      </c>
      <c r="E135" s="22" t="s">
        <v>47</v>
      </c>
      <c r="F135" s="22" t="s">
        <v>48</v>
      </c>
      <c r="G135" s="22" t="s">
        <v>171</v>
      </c>
      <c r="H135" s="22" t="s">
        <v>172</v>
      </c>
      <c r="I135" s="22" t="s">
        <v>173</v>
      </c>
      <c r="J135" s="22" t="s">
        <v>113</v>
      </c>
      <c r="K135" s="22" t="s">
        <v>52</v>
      </c>
      <c r="L135" s="25" t="n">
        <v>100</v>
      </c>
      <c r="M135" s="25" t="n">
        <v>970</v>
      </c>
      <c r="N135" s="26" t="n">
        <f aca="false">IF(L135="","",L135*M135)</f>
        <v>97000</v>
      </c>
      <c r="O135" s="25" t="n">
        <v>681</v>
      </c>
      <c r="P135" s="26" t="n">
        <f aca="false">IF(L135="","",N135-L135*O135)</f>
        <v>28900</v>
      </c>
      <c r="Q135" s="27" t="n">
        <v>10</v>
      </c>
      <c r="R135" s="27" t="n">
        <v>6</v>
      </c>
      <c r="S135" s="22" t="s">
        <v>44</v>
      </c>
      <c r="T135" s="22" t="str">
        <f aca="false">IF(R135="","",IF(R135&lt;=Q135,"Yes","No"))</f>
        <v>Yes</v>
      </c>
      <c r="U135" s="22" t="str">
        <f aca="false">IF(B135="","",TEXT(YEAR(B135),"0"))</f>
        <v>2024</v>
      </c>
    </row>
    <row r="136" customFormat="false" ht="15" hidden="false" customHeight="false" outlineLevel="0" collapsed="false">
      <c r="A136" s="22" t="s">
        <v>296</v>
      </c>
      <c r="B136" s="23" t="n">
        <v>45295</v>
      </c>
      <c r="C136" s="24" t="n">
        <f aca="false">IF(B136="","",DATE(YEAR(B136),MONTH(B136),1))</f>
        <v>45292</v>
      </c>
      <c r="D136" s="22" t="s">
        <v>61</v>
      </c>
      <c r="E136" s="22" t="s">
        <v>37</v>
      </c>
      <c r="F136" s="22" t="s">
        <v>62</v>
      </c>
      <c r="G136" s="22" t="s">
        <v>297</v>
      </c>
      <c r="H136" s="22" t="s">
        <v>298</v>
      </c>
      <c r="I136" s="22" t="s">
        <v>41</v>
      </c>
      <c r="J136" s="22" t="s">
        <v>80</v>
      </c>
      <c r="K136" s="22" t="s">
        <v>76</v>
      </c>
      <c r="L136" s="25" t="n">
        <v>25</v>
      </c>
      <c r="M136" s="25" t="n">
        <v>1425</v>
      </c>
      <c r="N136" s="26" t="n">
        <f aca="false">IF(L136="","",L136*M136)</f>
        <v>35625</v>
      </c>
      <c r="O136" s="25" t="n">
        <v>936</v>
      </c>
      <c r="P136" s="26" t="n">
        <f aca="false">IF(L136="","",N136-L136*O136)</f>
        <v>12225</v>
      </c>
      <c r="Q136" s="27" t="n">
        <v>30</v>
      </c>
      <c r="R136" s="27" t="n">
        <v>26</v>
      </c>
      <c r="S136" s="22" t="s">
        <v>44</v>
      </c>
      <c r="T136" s="22" t="str">
        <f aca="false">IF(R136="","",IF(R136&lt;=Q136,"Yes","No"))</f>
        <v>Yes</v>
      </c>
      <c r="U136" s="22" t="str">
        <f aca="false">IF(B136="","",TEXT(YEAR(B136),"0"))</f>
        <v>2024</v>
      </c>
    </row>
    <row r="137" customFormat="false" ht="15" hidden="false" customHeight="false" outlineLevel="0" collapsed="false">
      <c r="A137" s="22" t="s">
        <v>299</v>
      </c>
      <c r="B137" s="23" t="n">
        <v>45295</v>
      </c>
      <c r="C137" s="24" t="n">
        <f aca="false">IF(B137="","",DATE(YEAR(B137),MONTH(B137),1))</f>
        <v>45292</v>
      </c>
      <c r="D137" s="22" t="s">
        <v>108</v>
      </c>
      <c r="E137" s="22" t="s">
        <v>37</v>
      </c>
      <c r="F137" s="22" t="s">
        <v>109</v>
      </c>
      <c r="G137" s="22" t="s">
        <v>116</v>
      </c>
      <c r="H137" s="22" t="s">
        <v>117</v>
      </c>
      <c r="I137" s="22" t="s">
        <v>41</v>
      </c>
      <c r="J137" s="22" t="s">
        <v>80</v>
      </c>
      <c r="K137" s="22" t="s">
        <v>67</v>
      </c>
      <c r="L137" s="25" t="n">
        <v>500</v>
      </c>
      <c r="M137" s="25" t="n">
        <v>1210</v>
      </c>
      <c r="N137" s="26" t="n">
        <f aca="false">IF(L137="","",L137*M137)</f>
        <v>605000</v>
      </c>
      <c r="O137" s="25" t="n">
        <v>848</v>
      </c>
      <c r="P137" s="26" t="n">
        <f aca="false">IF(L137="","",N137-L137*O137)</f>
        <v>181000</v>
      </c>
      <c r="Q137" s="27" t="n">
        <v>30</v>
      </c>
      <c r="R137" s="27" t="n">
        <v>37</v>
      </c>
      <c r="S137" s="22" t="s">
        <v>44</v>
      </c>
      <c r="T137" s="22" t="str">
        <f aca="false">IF(R137="","",IF(R137&lt;=Q137,"Yes","No"))</f>
        <v>No</v>
      </c>
      <c r="U137" s="22" t="str">
        <f aca="false">IF(B137="","",TEXT(YEAR(B137),"0"))</f>
        <v>2024</v>
      </c>
    </row>
    <row r="138" customFormat="false" ht="15" hidden="false" customHeight="false" outlineLevel="0" collapsed="false">
      <c r="A138" s="22" t="s">
        <v>300</v>
      </c>
      <c r="B138" s="23" t="n">
        <v>45297</v>
      </c>
      <c r="C138" s="24" t="n">
        <f aca="false">IF(B138="","",DATE(YEAR(B138),MONTH(B138),1))</f>
        <v>45292</v>
      </c>
      <c r="D138" s="22" t="s">
        <v>69</v>
      </c>
      <c r="E138" s="22" t="s">
        <v>37</v>
      </c>
      <c r="F138" s="22" t="s">
        <v>62</v>
      </c>
      <c r="G138" s="22" t="s">
        <v>119</v>
      </c>
      <c r="H138" s="22" t="s">
        <v>120</v>
      </c>
      <c r="I138" s="22" t="s">
        <v>121</v>
      </c>
      <c r="J138" s="22" t="s">
        <v>122</v>
      </c>
      <c r="K138" s="22" t="s">
        <v>43</v>
      </c>
      <c r="L138" s="25" t="n">
        <v>200</v>
      </c>
      <c r="M138" s="25" t="n">
        <v>1105</v>
      </c>
      <c r="N138" s="26" t="n">
        <f aca="false">IF(L138="","",L138*M138)</f>
        <v>221000</v>
      </c>
      <c r="O138" s="25" t="n">
        <v>797</v>
      </c>
      <c r="P138" s="26" t="n">
        <f aca="false">IF(L138="","",N138-L138*O138)</f>
        <v>61600</v>
      </c>
      <c r="Q138" s="27" t="n">
        <v>21</v>
      </c>
      <c r="R138" s="27" t="n">
        <v>22</v>
      </c>
      <c r="S138" s="22" t="s">
        <v>44</v>
      </c>
      <c r="T138" s="22" t="str">
        <f aca="false">IF(R138="","",IF(R138&lt;=Q138,"Yes","No"))</f>
        <v>No</v>
      </c>
      <c r="U138" s="22" t="str">
        <f aca="false">IF(B138="","",TEXT(YEAR(B138),"0"))</f>
        <v>2024</v>
      </c>
    </row>
    <row r="139" customFormat="false" ht="15" hidden="false" customHeight="false" outlineLevel="0" collapsed="false">
      <c r="A139" s="22" t="s">
        <v>301</v>
      </c>
      <c r="B139" s="23" t="n">
        <v>45299</v>
      </c>
      <c r="C139" s="24" t="n">
        <f aca="false">IF(B139="","",DATE(YEAR(B139),MONTH(B139),1))</f>
        <v>45292</v>
      </c>
      <c r="D139" s="22" t="s">
        <v>61</v>
      </c>
      <c r="E139" s="22" t="s">
        <v>37</v>
      </c>
      <c r="F139" s="22" t="s">
        <v>62</v>
      </c>
      <c r="G139" s="22" t="s">
        <v>134</v>
      </c>
      <c r="H139" s="22" t="s">
        <v>135</v>
      </c>
      <c r="I139" s="22" t="s">
        <v>136</v>
      </c>
      <c r="J139" s="22" t="s">
        <v>66</v>
      </c>
      <c r="K139" s="22" t="s">
        <v>52</v>
      </c>
      <c r="L139" s="25" t="n">
        <v>200</v>
      </c>
      <c r="M139" s="25" t="n">
        <v>710</v>
      </c>
      <c r="N139" s="26" t="n">
        <f aca="false">IF(L139="","",L139*M139)</f>
        <v>142000</v>
      </c>
      <c r="O139" s="25" t="n">
        <v>541</v>
      </c>
      <c r="P139" s="26" t="n">
        <f aca="false">IF(L139="","",N139-L139*O139)</f>
        <v>33800</v>
      </c>
      <c r="Q139" s="27" t="n">
        <v>25</v>
      </c>
      <c r="R139" s="27" t="n">
        <v>24</v>
      </c>
      <c r="S139" s="22" t="s">
        <v>44</v>
      </c>
      <c r="T139" s="22" t="str">
        <f aca="false">IF(R139="","",IF(R139&lt;=Q139,"Yes","No"))</f>
        <v>Yes</v>
      </c>
      <c r="U139" s="22" t="str">
        <f aca="false">IF(B139="","",TEXT(YEAR(B139),"0"))</f>
        <v>2024</v>
      </c>
    </row>
    <row r="140" customFormat="false" ht="15" hidden="false" customHeight="false" outlineLevel="0" collapsed="false">
      <c r="A140" s="22" t="s">
        <v>302</v>
      </c>
      <c r="B140" s="23" t="n">
        <v>45302</v>
      </c>
      <c r="C140" s="24" t="n">
        <f aca="false">IF(B140="","",DATE(YEAR(B140),MONTH(B140),1))</f>
        <v>45292</v>
      </c>
      <c r="D140" s="22" t="s">
        <v>61</v>
      </c>
      <c r="E140" s="22" t="s">
        <v>37</v>
      </c>
      <c r="F140" s="22" t="s">
        <v>62</v>
      </c>
      <c r="G140" s="22" t="s">
        <v>199</v>
      </c>
      <c r="H140" s="22" t="s">
        <v>200</v>
      </c>
      <c r="I140" s="22" t="s">
        <v>41</v>
      </c>
      <c r="J140" s="22" t="s">
        <v>80</v>
      </c>
      <c r="K140" s="22" t="s">
        <v>76</v>
      </c>
      <c r="L140" s="25" t="n">
        <v>50</v>
      </c>
      <c r="M140" s="25" t="n">
        <v>1285</v>
      </c>
      <c r="N140" s="26" t="n">
        <f aca="false">IF(L140="","",L140*M140)</f>
        <v>64250</v>
      </c>
      <c r="O140" s="25" t="n">
        <v>899</v>
      </c>
      <c r="P140" s="26" t="n">
        <f aca="false">IF(L140="","",N140-L140*O140)</f>
        <v>19300</v>
      </c>
      <c r="Q140" s="27" t="n">
        <v>21</v>
      </c>
      <c r="R140" s="27" t="n">
        <v>19</v>
      </c>
      <c r="S140" s="22" t="s">
        <v>44</v>
      </c>
      <c r="T140" s="22" t="str">
        <f aca="false">IF(R140="","",IF(R140&lt;=Q140,"Yes","No"))</f>
        <v>Yes</v>
      </c>
      <c r="U140" s="22" t="str">
        <f aca="false">IF(B140="","",TEXT(YEAR(B140),"0"))</f>
        <v>2024</v>
      </c>
    </row>
    <row r="141" customFormat="false" ht="15" hidden="false" customHeight="false" outlineLevel="0" collapsed="false">
      <c r="A141" s="22" t="s">
        <v>303</v>
      </c>
      <c r="B141" s="23" t="n">
        <v>45308</v>
      </c>
      <c r="C141" s="24" t="n">
        <f aca="false">IF(B141="","",DATE(YEAR(B141),MONTH(B141),1))</f>
        <v>45292</v>
      </c>
      <c r="D141" s="22" t="s">
        <v>133</v>
      </c>
      <c r="E141" s="22" t="s">
        <v>47</v>
      </c>
      <c r="F141" s="22" t="s">
        <v>104</v>
      </c>
      <c r="G141" s="22" t="s">
        <v>110</v>
      </c>
      <c r="H141" s="22" t="s">
        <v>111</v>
      </c>
      <c r="I141" s="22" t="s">
        <v>112</v>
      </c>
      <c r="J141" s="22" t="s">
        <v>113</v>
      </c>
      <c r="K141" s="22" t="s">
        <v>76</v>
      </c>
      <c r="L141" s="25" t="n">
        <v>50</v>
      </c>
      <c r="M141" s="25" t="n">
        <v>925</v>
      </c>
      <c r="N141" s="26" t="n">
        <f aca="false">IF(L141="","",L141*M141)</f>
        <v>46250</v>
      </c>
      <c r="O141" s="25" t="n">
        <v>653</v>
      </c>
      <c r="P141" s="26" t="n">
        <f aca="false">IF(L141="","",N141-L141*O141)</f>
        <v>13600</v>
      </c>
      <c r="Q141" s="27" t="n">
        <v>10</v>
      </c>
      <c r="R141" s="27" t="n">
        <v>7</v>
      </c>
      <c r="S141" s="22" t="s">
        <v>44</v>
      </c>
      <c r="T141" s="22" t="str">
        <f aca="false">IF(R141="","",IF(R141&lt;=Q141,"Yes","No"))</f>
        <v>Yes</v>
      </c>
      <c r="U141" s="22" t="str">
        <f aca="false">IF(B141="","",TEXT(YEAR(B141),"0"))</f>
        <v>2024</v>
      </c>
    </row>
    <row r="142" customFormat="false" ht="15" hidden="false" customHeight="false" outlineLevel="0" collapsed="false">
      <c r="A142" s="22" t="s">
        <v>304</v>
      </c>
      <c r="B142" s="23" t="n">
        <v>45314</v>
      </c>
      <c r="C142" s="24" t="n">
        <f aca="false">IF(B142="","",DATE(YEAR(B142),MONTH(B142),1))</f>
        <v>45292</v>
      </c>
      <c r="D142" s="22" t="s">
        <v>103</v>
      </c>
      <c r="E142" s="22" t="s">
        <v>47</v>
      </c>
      <c r="F142" s="22" t="s">
        <v>104</v>
      </c>
      <c r="G142" s="22" t="s">
        <v>99</v>
      </c>
      <c r="H142" s="22" t="s">
        <v>100</v>
      </c>
      <c r="I142" s="22" t="s">
        <v>101</v>
      </c>
      <c r="J142" s="22" t="s">
        <v>80</v>
      </c>
      <c r="K142" s="22" t="s">
        <v>43</v>
      </c>
      <c r="L142" s="25" t="n">
        <v>25</v>
      </c>
      <c r="M142" s="25" t="n">
        <v>1420</v>
      </c>
      <c r="N142" s="26" t="n">
        <f aca="false">IF(L142="","",L142*M142)</f>
        <v>35500</v>
      </c>
      <c r="O142" s="25" t="n">
        <v>902</v>
      </c>
      <c r="P142" s="26" t="n">
        <f aca="false">IF(L142="","",N142-L142*O142)</f>
        <v>12950</v>
      </c>
      <c r="Q142" s="27" t="n">
        <v>15</v>
      </c>
      <c r="R142" s="27" t="n">
        <v>18</v>
      </c>
      <c r="S142" s="22" t="s">
        <v>44</v>
      </c>
      <c r="T142" s="22" t="str">
        <f aca="false">IF(R142="","",IF(R142&lt;=Q142,"Yes","No"))</f>
        <v>No</v>
      </c>
      <c r="U142" s="22" t="str">
        <f aca="false">IF(B142="","",TEXT(YEAR(B142),"0"))</f>
        <v>2024</v>
      </c>
    </row>
    <row r="143" customFormat="false" ht="15" hidden="false" customHeight="false" outlineLevel="0" collapsed="false">
      <c r="A143" s="22" t="s">
        <v>305</v>
      </c>
      <c r="B143" s="23" t="n">
        <v>45316</v>
      </c>
      <c r="C143" s="24" t="n">
        <f aca="false">IF(B143="","",DATE(YEAR(B143),MONTH(B143),1))</f>
        <v>45292</v>
      </c>
      <c r="D143" s="22" t="s">
        <v>46</v>
      </c>
      <c r="E143" s="22" t="s">
        <v>47</v>
      </c>
      <c r="F143" s="22" t="s">
        <v>48</v>
      </c>
      <c r="G143" s="22" t="s">
        <v>257</v>
      </c>
      <c r="H143" s="22" t="s">
        <v>258</v>
      </c>
      <c r="I143" s="22" t="s">
        <v>259</v>
      </c>
      <c r="J143" s="22" t="s">
        <v>122</v>
      </c>
      <c r="K143" s="22" t="s">
        <v>67</v>
      </c>
      <c r="L143" s="25" t="n">
        <v>25</v>
      </c>
      <c r="M143" s="25" t="n">
        <v>1105</v>
      </c>
      <c r="N143" s="26" t="n">
        <f aca="false">IF(L143="","",L143*M143)</f>
        <v>27625</v>
      </c>
      <c r="O143" s="25" t="n">
        <v>746</v>
      </c>
      <c r="P143" s="26" t="n">
        <f aca="false">IF(L143="","",N143-L143*O143)</f>
        <v>8975</v>
      </c>
      <c r="Q143" s="27" t="n">
        <v>10</v>
      </c>
      <c r="R143" s="27" t="n">
        <v>9</v>
      </c>
      <c r="S143" s="22" t="s">
        <v>44</v>
      </c>
      <c r="T143" s="22" t="str">
        <f aca="false">IF(R143="","",IF(R143&lt;=Q143,"Yes","No"))</f>
        <v>Yes</v>
      </c>
      <c r="U143" s="22" t="str">
        <f aca="false">IF(B143="","",TEXT(YEAR(B143),"0"))</f>
        <v>2024</v>
      </c>
    </row>
    <row r="144" customFormat="false" ht="15" hidden="false" customHeight="false" outlineLevel="0" collapsed="false">
      <c r="A144" s="22" t="s">
        <v>306</v>
      </c>
      <c r="B144" s="23" t="n">
        <v>45322</v>
      </c>
      <c r="C144" s="24" t="n">
        <f aca="false">IF(B144="","",DATE(YEAR(B144),MONTH(B144),1))</f>
        <v>45292</v>
      </c>
      <c r="D144" s="22" t="s">
        <v>61</v>
      </c>
      <c r="E144" s="22" t="s">
        <v>37</v>
      </c>
      <c r="F144" s="22" t="s">
        <v>62</v>
      </c>
      <c r="G144" s="22" t="s">
        <v>257</v>
      </c>
      <c r="H144" s="22" t="s">
        <v>258</v>
      </c>
      <c r="I144" s="22" t="s">
        <v>259</v>
      </c>
      <c r="J144" s="22" t="s">
        <v>122</v>
      </c>
      <c r="K144" s="22" t="s">
        <v>145</v>
      </c>
      <c r="L144" s="25" t="n">
        <v>100</v>
      </c>
      <c r="M144" s="25" t="n">
        <v>1035</v>
      </c>
      <c r="N144" s="26" t="n">
        <f aca="false">IF(L144="","",L144*M144)</f>
        <v>103500</v>
      </c>
      <c r="O144" s="25" t="n">
        <v>747</v>
      </c>
      <c r="P144" s="26" t="n">
        <f aca="false">IF(L144="","",N144-L144*O144)</f>
        <v>28800</v>
      </c>
      <c r="Q144" s="27" t="n">
        <v>21</v>
      </c>
      <c r="R144" s="27" t="n">
        <v>18</v>
      </c>
      <c r="S144" s="22" t="s">
        <v>44</v>
      </c>
      <c r="T144" s="22" t="str">
        <f aca="false">IF(R144="","",IF(R144&lt;=Q144,"Yes","No"))</f>
        <v>Yes</v>
      </c>
      <c r="U144" s="22" t="str">
        <f aca="false">IF(B144="","",TEXT(YEAR(B144),"0"))</f>
        <v>2024</v>
      </c>
    </row>
    <row r="145" customFormat="false" ht="15" hidden="false" customHeight="false" outlineLevel="0" collapsed="false">
      <c r="A145" s="22" t="s">
        <v>307</v>
      </c>
      <c r="B145" s="23" t="n">
        <v>45322</v>
      </c>
      <c r="C145" s="24" t="n">
        <f aca="false">IF(B145="","",DATE(YEAR(B145),MONTH(B145),1))</f>
        <v>45292</v>
      </c>
      <c r="D145" s="22" t="s">
        <v>61</v>
      </c>
      <c r="E145" s="22" t="s">
        <v>37</v>
      </c>
      <c r="F145" s="22" t="s">
        <v>62</v>
      </c>
      <c r="G145" s="22" t="s">
        <v>89</v>
      </c>
      <c r="H145" s="22" t="s">
        <v>90</v>
      </c>
      <c r="I145" s="22" t="s">
        <v>91</v>
      </c>
      <c r="J145" s="22" t="s">
        <v>66</v>
      </c>
      <c r="K145" s="22" t="s">
        <v>130</v>
      </c>
      <c r="L145" s="25" t="n">
        <v>100</v>
      </c>
      <c r="M145" s="25" t="n">
        <v>690</v>
      </c>
      <c r="N145" s="26" t="n">
        <f aca="false">IF(L145="","",L145*M145)</f>
        <v>69000</v>
      </c>
      <c r="O145" s="25" t="n">
        <v>521</v>
      </c>
      <c r="P145" s="26" t="n">
        <f aca="false">IF(L145="","",N145-L145*O145)</f>
        <v>16900</v>
      </c>
      <c r="Q145" s="27" t="n">
        <v>30</v>
      </c>
      <c r="R145" s="27" t="n">
        <v>28</v>
      </c>
      <c r="S145" s="22" t="s">
        <v>44</v>
      </c>
      <c r="T145" s="22" t="str">
        <f aca="false">IF(R145="","",IF(R145&lt;=Q145,"Yes","No"))</f>
        <v>Yes</v>
      </c>
      <c r="U145" s="22" t="str">
        <f aca="false">IF(B145="","",TEXT(YEAR(B145),"0"))</f>
        <v>2024</v>
      </c>
    </row>
    <row r="146" customFormat="false" ht="15" hidden="false" customHeight="false" outlineLevel="0" collapsed="false">
      <c r="A146" s="22" t="s">
        <v>308</v>
      </c>
      <c r="B146" s="23" t="n">
        <v>45323</v>
      </c>
      <c r="C146" s="24" t="n">
        <f aca="false">IF(B146="","",DATE(YEAR(B146),MONTH(B146),1))</f>
        <v>45323</v>
      </c>
      <c r="D146" s="22" t="s">
        <v>69</v>
      </c>
      <c r="E146" s="22" t="s">
        <v>37</v>
      </c>
      <c r="F146" s="22" t="s">
        <v>62</v>
      </c>
      <c r="G146" s="22" t="s">
        <v>139</v>
      </c>
      <c r="H146" s="22" t="s">
        <v>140</v>
      </c>
      <c r="I146" s="22" t="s">
        <v>141</v>
      </c>
      <c r="J146" s="22" t="s">
        <v>51</v>
      </c>
      <c r="K146" s="22" t="s">
        <v>67</v>
      </c>
      <c r="L146" s="25" t="n">
        <v>100</v>
      </c>
      <c r="M146" s="25" t="n">
        <v>885</v>
      </c>
      <c r="N146" s="26" t="n">
        <f aca="false">IF(L146="","",L146*M146)</f>
        <v>88500</v>
      </c>
      <c r="O146" s="25" t="n">
        <v>629</v>
      </c>
      <c r="P146" s="26" t="n">
        <f aca="false">IF(L146="","",N146-L146*O146)</f>
        <v>25600</v>
      </c>
      <c r="Q146" s="27" t="n">
        <v>25</v>
      </c>
      <c r="R146" s="27" t="n">
        <v>24</v>
      </c>
      <c r="S146" s="22" t="s">
        <v>44</v>
      </c>
      <c r="T146" s="22" t="str">
        <f aca="false">IF(R146="","",IF(R146&lt;=Q146,"Yes","No"))</f>
        <v>Yes</v>
      </c>
      <c r="U146" s="22" t="str">
        <f aca="false">IF(B146="","",TEXT(YEAR(B146),"0"))</f>
        <v>2024</v>
      </c>
    </row>
    <row r="147" customFormat="false" ht="15" hidden="false" customHeight="false" outlineLevel="0" collapsed="false">
      <c r="A147" s="22" t="s">
        <v>309</v>
      </c>
      <c r="B147" s="23" t="n">
        <v>45328</v>
      </c>
      <c r="C147" s="24" t="n">
        <f aca="false">IF(B147="","",DATE(YEAR(B147),MONTH(B147),1))</f>
        <v>45323</v>
      </c>
      <c r="D147" s="22" t="s">
        <v>61</v>
      </c>
      <c r="E147" s="22" t="s">
        <v>37</v>
      </c>
      <c r="F147" s="22" t="s">
        <v>62</v>
      </c>
      <c r="G147" s="22" t="s">
        <v>49</v>
      </c>
      <c r="H147" s="22" t="s">
        <v>50</v>
      </c>
      <c r="I147" s="22" t="s">
        <v>41</v>
      </c>
      <c r="J147" s="22" t="s">
        <v>51</v>
      </c>
      <c r="K147" s="22" t="s">
        <v>52</v>
      </c>
      <c r="L147" s="25" t="n">
        <v>50</v>
      </c>
      <c r="M147" s="25" t="n">
        <v>830</v>
      </c>
      <c r="N147" s="26" t="n">
        <f aca="false">IF(L147="","",L147*M147)</f>
        <v>41500</v>
      </c>
      <c r="O147" s="25" t="n">
        <v>601</v>
      </c>
      <c r="P147" s="26" t="n">
        <f aca="false">IF(L147="","",N147-L147*O147)</f>
        <v>11450</v>
      </c>
      <c r="Q147" s="27" t="n">
        <v>21</v>
      </c>
      <c r="R147" s="27" t="n">
        <v>19</v>
      </c>
      <c r="S147" s="22" t="s">
        <v>44</v>
      </c>
      <c r="T147" s="22" t="str">
        <f aca="false">IF(R147="","",IF(R147&lt;=Q147,"Yes","No"))</f>
        <v>Yes</v>
      </c>
      <c r="U147" s="22" t="str">
        <f aca="false">IF(B147="","",TEXT(YEAR(B147),"0"))</f>
        <v>2024</v>
      </c>
    </row>
    <row r="148" customFormat="false" ht="15" hidden="false" customHeight="false" outlineLevel="0" collapsed="false">
      <c r="A148" s="22" t="s">
        <v>310</v>
      </c>
      <c r="B148" s="23" t="n">
        <v>45330</v>
      </c>
      <c r="C148" s="24" t="n">
        <f aca="false">IF(B148="","",DATE(YEAR(B148),MONTH(B148),1))</f>
        <v>45323</v>
      </c>
      <c r="D148" s="22" t="s">
        <v>103</v>
      </c>
      <c r="E148" s="22" t="s">
        <v>47</v>
      </c>
      <c r="F148" s="22" t="s">
        <v>104</v>
      </c>
      <c r="G148" s="22" t="s">
        <v>220</v>
      </c>
      <c r="H148" s="22" t="s">
        <v>221</v>
      </c>
      <c r="I148" s="22" t="s">
        <v>222</v>
      </c>
      <c r="J148" s="22" t="s">
        <v>113</v>
      </c>
      <c r="K148" s="22" t="s">
        <v>52</v>
      </c>
      <c r="L148" s="25" t="n">
        <v>100</v>
      </c>
      <c r="M148" s="25" t="n">
        <v>975</v>
      </c>
      <c r="N148" s="26" t="n">
        <f aca="false">IF(L148="","",L148*M148)</f>
        <v>97500</v>
      </c>
      <c r="O148" s="25" t="n">
        <v>685</v>
      </c>
      <c r="P148" s="26" t="n">
        <f aca="false">IF(L148="","",N148-L148*O148)</f>
        <v>29000</v>
      </c>
      <c r="Q148" s="27" t="n">
        <v>12</v>
      </c>
      <c r="R148" s="27" t="n">
        <v>10</v>
      </c>
      <c r="S148" s="22" t="s">
        <v>44</v>
      </c>
      <c r="T148" s="22" t="str">
        <f aca="false">IF(R148="","",IF(R148&lt;=Q148,"Yes","No"))</f>
        <v>Yes</v>
      </c>
      <c r="U148" s="22" t="str">
        <f aca="false">IF(B148="","",TEXT(YEAR(B148),"0"))</f>
        <v>2024</v>
      </c>
    </row>
    <row r="149" customFormat="false" ht="15" hidden="false" customHeight="false" outlineLevel="0" collapsed="false">
      <c r="A149" s="22" t="s">
        <v>311</v>
      </c>
      <c r="B149" s="23" t="n">
        <v>45331</v>
      </c>
      <c r="C149" s="24" t="n">
        <f aca="false">IF(B149="","",DATE(YEAR(B149),MONTH(B149),1))</f>
        <v>45323</v>
      </c>
      <c r="D149" s="22" t="s">
        <v>61</v>
      </c>
      <c r="E149" s="22" t="s">
        <v>37</v>
      </c>
      <c r="F149" s="22" t="s">
        <v>62</v>
      </c>
      <c r="G149" s="22" t="s">
        <v>134</v>
      </c>
      <c r="H149" s="22" t="s">
        <v>135</v>
      </c>
      <c r="I149" s="22" t="s">
        <v>136</v>
      </c>
      <c r="J149" s="22" t="s">
        <v>66</v>
      </c>
      <c r="K149" s="22" t="s">
        <v>76</v>
      </c>
      <c r="L149" s="25" t="n">
        <v>200</v>
      </c>
      <c r="M149" s="25" t="n">
        <v>670</v>
      </c>
      <c r="N149" s="26" t="n">
        <f aca="false">IF(L149="","",L149*M149)</f>
        <v>134000</v>
      </c>
      <c r="O149" s="25" t="n">
        <v>539</v>
      </c>
      <c r="P149" s="26" t="n">
        <f aca="false">IF(L149="","",N149-L149*O149)</f>
        <v>26200</v>
      </c>
      <c r="Q149" s="27" t="n">
        <v>25</v>
      </c>
      <c r="R149" s="27" t="n">
        <v>19</v>
      </c>
      <c r="S149" s="22" t="s">
        <v>44</v>
      </c>
      <c r="T149" s="22" t="str">
        <f aca="false">IF(R149="","",IF(R149&lt;=Q149,"Yes","No"))</f>
        <v>Yes</v>
      </c>
      <c r="U149" s="22" t="str">
        <f aca="false">IF(B149="","",TEXT(YEAR(B149),"0"))</f>
        <v>2024</v>
      </c>
    </row>
    <row r="150" customFormat="false" ht="15" hidden="false" customHeight="false" outlineLevel="0" collapsed="false">
      <c r="A150" s="22" t="s">
        <v>312</v>
      </c>
      <c r="B150" s="23" t="n">
        <v>45335</v>
      </c>
      <c r="C150" s="24" t="n">
        <f aca="false">IF(B150="","",DATE(YEAR(B150),MONTH(B150),1))</f>
        <v>45323</v>
      </c>
      <c r="D150" s="22" t="s">
        <v>108</v>
      </c>
      <c r="E150" s="22" t="s">
        <v>37</v>
      </c>
      <c r="F150" s="22" t="s">
        <v>109</v>
      </c>
      <c r="G150" s="22" t="s">
        <v>110</v>
      </c>
      <c r="H150" s="22" t="s">
        <v>111</v>
      </c>
      <c r="I150" s="22" t="s">
        <v>112</v>
      </c>
      <c r="J150" s="22" t="s">
        <v>113</v>
      </c>
      <c r="K150" s="22" t="s">
        <v>67</v>
      </c>
      <c r="L150" s="25" t="n">
        <v>100</v>
      </c>
      <c r="M150" s="25" t="n">
        <v>895</v>
      </c>
      <c r="N150" s="26" t="n">
        <f aca="false">IF(L150="","",L150*M150)</f>
        <v>89500</v>
      </c>
      <c r="O150" s="25" t="n">
        <v>648</v>
      </c>
      <c r="P150" s="26" t="n">
        <f aca="false">IF(L150="","",N150-L150*O150)</f>
        <v>24700</v>
      </c>
      <c r="Q150" s="27" t="n">
        <v>21</v>
      </c>
      <c r="R150" s="27" t="n">
        <v>19</v>
      </c>
      <c r="S150" s="22" t="s">
        <v>44</v>
      </c>
      <c r="T150" s="22" t="str">
        <f aca="false">IF(R150="","",IF(R150&lt;=Q150,"Yes","No"))</f>
        <v>Yes</v>
      </c>
      <c r="U150" s="22" t="str">
        <f aca="false">IF(B150="","",TEXT(YEAR(B150),"0"))</f>
        <v>2024</v>
      </c>
    </row>
    <row r="151" customFormat="false" ht="15" hidden="false" customHeight="false" outlineLevel="0" collapsed="false">
      <c r="A151" s="22" t="s">
        <v>313</v>
      </c>
      <c r="B151" s="23" t="n">
        <v>45335</v>
      </c>
      <c r="C151" s="24" t="n">
        <f aca="false">IF(B151="","",DATE(YEAR(B151),MONTH(B151),1))</f>
        <v>45323</v>
      </c>
      <c r="D151" s="22" t="s">
        <v>61</v>
      </c>
      <c r="E151" s="22" t="s">
        <v>37</v>
      </c>
      <c r="F151" s="22" t="s">
        <v>62</v>
      </c>
      <c r="G151" s="22" t="s">
        <v>82</v>
      </c>
      <c r="H151" s="22" t="s">
        <v>83</v>
      </c>
      <c r="I151" s="22" t="s">
        <v>41</v>
      </c>
      <c r="J151" s="22" t="s">
        <v>66</v>
      </c>
      <c r="K151" s="22" t="s">
        <v>76</v>
      </c>
      <c r="L151" s="25" t="n">
        <v>300</v>
      </c>
      <c r="M151" s="25" t="n">
        <v>650</v>
      </c>
      <c r="N151" s="26" t="n">
        <f aca="false">IF(L151="","",L151*M151)</f>
        <v>195000</v>
      </c>
      <c r="O151" s="25" t="n">
        <v>499</v>
      </c>
      <c r="P151" s="26" t="n">
        <f aca="false">IF(L151="","",N151-L151*O151)</f>
        <v>45300</v>
      </c>
      <c r="Q151" s="27" t="n">
        <v>30</v>
      </c>
      <c r="R151" s="27" t="n">
        <v>29</v>
      </c>
      <c r="S151" s="22" t="s">
        <v>44</v>
      </c>
      <c r="T151" s="22" t="str">
        <f aca="false">IF(R151="","",IF(R151&lt;=Q151,"Yes","No"))</f>
        <v>Yes</v>
      </c>
      <c r="U151" s="22" t="str">
        <f aca="false">IF(B151="","",TEXT(YEAR(B151),"0"))</f>
        <v>2024</v>
      </c>
    </row>
    <row r="152" customFormat="false" ht="15" hidden="false" customHeight="false" outlineLevel="0" collapsed="false">
      <c r="A152" s="22" t="s">
        <v>314</v>
      </c>
      <c r="B152" s="23" t="n">
        <v>45337</v>
      </c>
      <c r="C152" s="24" t="n">
        <f aca="false">IF(B152="","",DATE(YEAR(B152),MONTH(B152),1))</f>
        <v>45323</v>
      </c>
      <c r="D152" s="22" t="s">
        <v>108</v>
      </c>
      <c r="E152" s="22" t="s">
        <v>37</v>
      </c>
      <c r="F152" s="22" t="s">
        <v>109</v>
      </c>
      <c r="G152" s="22" t="s">
        <v>85</v>
      </c>
      <c r="H152" s="22" t="s">
        <v>86</v>
      </c>
      <c r="I152" s="22" t="s">
        <v>87</v>
      </c>
      <c r="J152" s="22" t="s">
        <v>51</v>
      </c>
      <c r="K152" s="22" t="s">
        <v>67</v>
      </c>
      <c r="L152" s="25" t="n">
        <v>100</v>
      </c>
      <c r="M152" s="25" t="n">
        <v>865</v>
      </c>
      <c r="N152" s="26" t="n">
        <f aca="false">IF(L152="","",L152*M152)</f>
        <v>86500</v>
      </c>
      <c r="O152" s="25" t="n">
        <v>610</v>
      </c>
      <c r="P152" s="26" t="n">
        <f aca="false">IF(L152="","",N152-L152*O152)</f>
        <v>25500</v>
      </c>
      <c r="Q152" s="27" t="n">
        <v>25</v>
      </c>
      <c r="R152" s="27" t="n">
        <v>24</v>
      </c>
      <c r="S152" s="22" t="s">
        <v>44</v>
      </c>
      <c r="T152" s="22" t="str">
        <f aca="false">IF(R152="","",IF(R152&lt;=Q152,"Yes","No"))</f>
        <v>Yes</v>
      </c>
      <c r="U152" s="22" t="str">
        <f aca="false">IF(B152="","",TEXT(YEAR(B152),"0"))</f>
        <v>2024</v>
      </c>
    </row>
    <row r="153" customFormat="false" ht="15" hidden="false" customHeight="false" outlineLevel="0" collapsed="false">
      <c r="A153" s="22" t="s">
        <v>315</v>
      </c>
      <c r="B153" s="23" t="n">
        <v>45338</v>
      </c>
      <c r="C153" s="24" t="n">
        <f aca="false">IF(B153="","",DATE(YEAR(B153),MONTH(B153),1))</f>
        <v>45323</v>
      </c>
      <c r="D153" s="22" t="s">
        <v>71</v>
      </c>
      <c r="E153" s="22" t="s">
        <v>37</v>
      </c>
      <c r="F153" s="22" t="s">
        <v>72</v>
      </c>
      <c r="G153" s="22" t="s">
        <v>49</v>
      </c>
      <c r="H153" s="22" t="s">
        <v>50</v>
      </c>
      <c r="I153" s="22" t="s">
        <v>41</v>
      </c>
      <c r="J153" s="22" t="s">
        <v>51</v>
      </c>
      <c r="K153" s="22" t="s">
        <v>145</v>
      </c>
      <c r="L153" s="25" t="n">
        <v>50</v>
      </c>
      <c r="M153" s="25" t="n">
        <v>830</v>
      </c>
      <c r="N153" s="26" t="n">
        <f aca="false">IF(L153="","",L153*M153)</f>
        <v>41500</v>
      </c>
      <c r="O153" s="25" t="n">
        <v>580</v>
      </c>
      <c r="P153" s="26" t="n">
        <f aca="false">IF(L153="","",N153-L153*O153)</f>
        <v>12500</v>
      </c>
      <c r="Q153" s="27" t="n">
        <v>25</v>
      </c>
      <c r="R153" s="27" t="n">
        <v>22</v>
      </c>
      <c r="S153" s="22" t="s">
        <v>44</v>
      </c>
      <c r="T153" s="22" t="str">
        <f aca="false">IF(R153="","",IF(R153&lt;=Q153,"Yes","No"))</f>
        <v>Yes</v>
      </c>
      <c r="U153" s="22" t="str">
        <f aca="false">IF(B153="","",TEXT(YEAR(B153),"0"))</f>
        <v>2024</v>
      </c>
    </row>
    <row r="154" customFormat="false" ht="15" hidden="false" customHeight="false" outlineLevel="0" collapsed="false">
      <c r="A154" s="22" t="s">
        <v>316</v>
      </c>
      <c r="B154" s="23" t="n">
        <v>45344</v>
      </c>
      <c r="C154" s="24" t="n">
        <f aca="false">IF(B154="","",DATE(YEAR(B154),MONTH(B154),1))</f>
        <v>45323</v>
      </c>
      <c r="D154" s="22" t="s">
        <v>103</v>
      </c>
      <c r="E154" s="22" t="s">
        <v>47</v>
      </c>
      <c r="F154" s="22" t="s">
        <v>104</v>
      </c>
      <c r="G154" s="22" t="s">
        <v>317</v>
      </c>
      <c r="H154" s="22" t="s">
        <v>318</v>
      </c>
      <c r="I154" s="22" t="s">
        <v>319</v>
      </c>
      <c r="J154" s="22" t="s">
        <v>122</v>
      </c>
      <c r="K154" s="22" t="s">
        <v>130</v>
      </c>
      <c r="L154" s="25" t="n">
        <v>200</v>
      </c>
      <c r="M154" s="25" t="n">
        <v>1180</v>
      </c>
      <c r="N154" s="26" t="n">
        <f aca="false">IF(L154="","",L154*M154)</f>
        <v>236000</v>
      </c>
      <c r="O154" s="25" t="n">
        <v>824</v>
      </c>
      <c r="P154" s="26" t="n">
        <f aca="false">IF(L154="","",N154-L154*O154)</f>
        <v>71200</v>
      </c>
      <c r="Q154" s="27" t="n">
        <v>12</v>
      </c>
      <c r="R154" s="27" t="n">
        <v>15</v>
      </c>
      <c r="S154" s="22" t="s">
        <v>44</v>
      </c>
      <c r="T154" s="22" t="str">
        <f aca="false">IF(R154="","",IF(R154&lt;=Q154,"Yes","No"))</f>
        <v>No</v>
      </c>
      <c r="U154" s="22" t="str">
        <f aca="false">IF(B154="","",TEXT(YEAR(B154),"0"))</f>
        <v>2024</v>
      </c>
    </row>
    <row r="155" customFormat="false" ht="15" hidden="false" customHeight="false" outlineLevel="0" collapsed="false">
      <c r="A155" s="22" t="s">
        <v>320</v>
      </c>
      <c r="B155" s="23" t="n">
        <v>45345</v>
      </c>
      <c r="C155" s="24" t="n">
        <f aca="false">IF(B155="","",DATE(YEAR(B155),MONTH(B155),1))</f>
        <v>45323</v>
      </c>
      <c r="D155" s="22" t="s">
        <v>54</v>
      </c>
      <c r="E155" s="22" t="s">
        <v>47</v>
      </c>
      <c r="F155" s="22" t="s">
        <v>55</v>
      </c>
      <c r="G155" s="22" t="s">
        <v>148</v>
      </c>
      <c r="H155" s="22" t="s">
        <v>149</v>
      </c>
      <c r="I155" s="22" t="s">
        <v>41</v>
      </c>
      <c r="J155" s="22" t="s">
        <v>150</v>
      </c>
      <c r="K155" s="22" t="s">
        <v>59</v>
      </c>
      <c r="L155" s="25" t="n">
        <v>200</v>
      </c>
      <c r="M155" s="25" t="n">
        <v>1070</v>
      </c>
      <c r="N155" s="26" t="n">
        <f aca="false">IF(L155="","",L155*M155)</f>
        <v>214000</v>
      </c>
      <c r="O155" s="25" t="n">
        <v>751</v>
      </c>
      <c r="P155" s="26" t="n">
        <f aca="false">IF(L155="","",N155-L155*O155)</f>
        <v>63800</v>
      </c>
      <c r="Q155" s="27" t="n">
        <v>12</v>
      </c>
      <c r="R155" s="27" t="n">
        <v>6</v>
      </c>
      <c r="S155" s="22" t="s">
        <v>44</v>
      </c>
      <c r="T155" s="22" t="str">
        <f aca="false">IF(R155="","",IF(R155&lt;=Q155,"Yes","No"))</f>
        <v>Yes</v>
      </c>
      <c r="U155" s="22" t="str">
        <f aca="false">IF(B155="","",TEXT(YEAR(B155),"0"))</f>
        <v>2024</v>
      </c>
    </row>
    <row r="156" customFormat="false" ht="15" hidden="false" customHeight="false" outlineLevel="0" collapsed="false">
      <c r="A156" s="22" t="s">
        <v>321</v>
      </c>
      <c r="B156" s="23" t="n">
        <v>45349</v>
      </c>
      <c r="C156" s="24" t="n">
        <f aca="false">IF(B156="","",DATE(YEAR(B156),MONTH(B156),1))</f>
        <v>45323</v>
      </c>
      <c r="D156" s="22" t="s">
        <v>69</v>
      </c>
      <c r="E156" s="22" t="s">
        <v>37</v>
      </c>
      <c r="F156" s="22" t="s">
        <v>62</v>
      </c>
      <c r="G156" s="22" t="s">
        <v>73</v>
      </c>
      <c r="H156" s="22" t="s">
        <v>74</v>
      </c>
      <c r="I156" s="22" t="s">
        <v>75</v>
      </c>
      <c r="J156" s="22" t="s">
        <v>51</v>
      </c>
      <c r="K156" s="22" t="s">
        <v>52</v>
      </c>
      <c r="L156" s="25" t="n">
        <v>50</v>
      </c>
      <c r="M156" s="25" t="n">
        <v>815</v>
      </c>
      <c r="N156" s="26" t="n">
        <f aca="false">IF(L156="","",L156*M156)</f>
        <v>40750</v>
      </c>
      <c r="O156" s="25" t="n">
        <v>596</v>
      </c>
      <c r="P156" s="26" t="n">
        <f aca="false">IF(L156="","",N156-L156*O156)</f>
        <v>10950</v>
      </c>
      <c r="Q156" s="27" t="n">
        <v>25</v>
      </c>
      <c r="R156" s="27" t="n">
        <v>22</v>
      </c>
      <c r="S156" s="22" t="s">
        <v>44</v>
      </c>
      <c r="T156" s="22" t="str">
        <f aca="false">IF(R156="","",IF(R156&lt;=Q156,"Yes","No"))</f>
        <v>Yes</v>
      </c>
      <c r="U156" s="22" t="str">
        <f aca="false">IF(B156="","",TEXT(YEAR(B156),"0"))</f>
        <v>2024</v>
      </c>
    </row>
    <row r="157" customFormat="false" ht="15" hidden="false" customHeight="false" outlineLevel="0" collapsed="false">
      <c r="A157" s="22" t="s">
        <v>322</v>
      </c>
      <c r="B157" s="23" t="n">
        <v>45351</v>
      </c>
      <c r="C157" s="24" t="n">
        <f aca="false">IF(B157="","",DATE(YEAR(B157),MONTH(B157),1))</f>
        <v>45323</v>
      </c>
      <c r="D157" s="22" t="s">
        <v>54</v>
      </c>
      <c r="E157" s="22" t="s">
        <v>47</v>
      </c>
      <c r="F157" s="22" t="s">
        <v>55</v>
      </c>
      <c r="G157" s="22" t="s">
        <v>93</v>
      </c>
      <c r="H157" s="22" t="s">
        <v>94</v>
      </c>
      <c r="I157" s="22" t="s">
        <v>41</v>
      </c>
      <c r="J157" s="22" t="s">
        <v>42</v>
      </c>
      <c r="K157" s="22" t="s">
        <v>59</v>
      </c>
      <c r="L157" s="25" t="n">
        <v>100</v>
      </c>
      <c r="M157" s="25" t="n">
        <v>835</v>
      </c>
      <c r="N157" s="26" t="n">
        <f aca="false">IF(L157="","",L157*M157)</f>
        <v>83500</v>
      </c>
      <c r="O157" s="25" t="n">
        <v>629</v>
      </c>
      <c r="P157" s="26" t="n">
        <f aca="false">IF(L157="","",N157-L157*O157)</f>
        <v>20600</v>
      </c>
      <c r="Q157" s="27" t="n">
        <v>12</v>
      </c>
      <c r="R157" s="27" t="n">
        <v>14</v>
      </c>
      <c r="S157" s="22" t="s">
        <v>44</v>
      </c>
      <c r="T157" s="22" t="str">
        <f aca="false">IF(R157="","",IF(R157&lt;=Q157,"Yes","No"))</f>
        <v>No</v>
      </c>
      <c r="U157" s="22" t="str">
        <f aca="false">IF(B157="","",TEXT(YEAR(B157),"0"))</f>
        <v>2024</v>
      </c>
    </row>
    <row r="158" customFormat="false" ht="15" hidden="false" customHeight="false" outlineLevel="0" collapsed="false">
      <c r="A158" s="22" t="s">
        <v>323</v>
      </c>
      <c r="B158" s="23" t="n">
        <v>45352</v>
      </c>
      <c r="C158" s="24" t="n">
        <f aca="false">IF(B158="","",DATE(YEAR(B158),MONTH(B158),1))</f>
        <v>45352</v>
      </c>
      <c r="D158" s="22" t="s">
        <v>103</v>
      </c>
      <c r="E158" s="22" t="s">
        <v>47</v>
      </c>
      <c r="F158" s="22" t="s">
        <v>104</v>
      </c>
      <c r="G158" s="22" t="s">
        <v>89</v>
      </c>
      <c r="H158" s="22" t="s">
        <v>90</v>
      </c>
      <c r="I158" s="22" t="s">
        <v>91</v>
      </c>
      <c r="J158" s="22" t="s">
        <v>66</v>
      </c>
      <c r="K158" s="22" t="s">
        <v>43</v>
      </c>
      <c r="L158" s="25" t="n">
        <v>25</v>
      </c>
      <c r="M158" s="25" t="n">
        <v>725</v>
      </c>
      <c r="N158" s="26" t="n">
        <f aca="false">IF(L158="","",L158*M158)</f>
        <v>18125</v>
      </c>
      <c r="O158" s="25" t="n">
        <v>525</v>
      </c>
      <c r="P158" s="26" t="n">
        <f aca="false">IF(L158="","",N158-L158*O158)</f>
        <v>5000</v>
      </c>
      <c r="Q158" s="27" t="n">
        <v>12</v>
      </c>
      <c r="R158" s="27" t="n">
        <v>10</v>
      </c>
      <c r="S158" s="22" t="s">
        <v>44</v>
      </c>
      <c r="T158" s="22" t="str">
        <f aca="false">IF(R158="","",IF(R158&lt;=Q158,"Yes","No"))</f>
        <v>Yes</v>
      </c>
      <c r="U158" s="22" t="str">
        <f aca="false">IF(B158="","",TEXT(YEAR(B158),"0"))</f>
        <v>2024</v>
      </c>
    </row>
    <row r="159" customFormat="false" ht="15" hidden="false" customHeight="false" outlineLevel="0" collapsed="false">
      <c r="A159" s="22" t="s">
        <v>324</v>
      </c>
      <c r="B159" s="23" t="n">
        <v>45358</v>
      </c>
      <c r="C159" s="24" t="n">
        <f aca="false">IF(B159="","",DATE(YEAR(B159),MONTH(B159),1))</f>
        <v>45352</v>
      </c>
      <c r="D159" s="22" t="s">
        <v>96</v>
      </c>
      <c r="E159" s="22" t="s">
        <v>47</v>
      </c>
      <c r="F159" s="22" t="s">
        <v>97</v>
      </c>
      <c r="G159" s="22" t="s">
        <v>56</v>
      </c>
      <c r="H159" s="22" t="s">
        <v>57</v>
      </c>
      <c r="I159" s="22" t="s">
        <v>58</v>
      </c>
      <c r="J159" s="22" t="s">
        <v>51</v>
      </c>
      <c r="K159" s="22" t="s">
        <v>130</v>
      </c>
      <c r="L159" s="25" t="n">
        <v>25</v>
      </c>
      <c r="M159" s="25" t="n">
        <v>820</v>
      </c>
      <c r="N159" s="26" t="n">
        <f aca="false">IF(L159="","",L159*M159)</f>
        <v>20500</v>
      </c>
      <c r="O159" s="25" t="n">
        <v>560</v>
      </c>
      <c r="P159" s="26" t="n">
        <f aca="false">IF(L159="","",N159-L159*O159)</f>
        <v>6500</v>
      </c>
      <c r="Q159" s="27" t="n">
        <v>12</v>
      </c>
      <c r="R159" s="27" t="n">
        <v>13</v>
      </c>
      <c r="S159" s="22" t="s">
        <v>44</v>
      </c>
      <c r="T159" s="22" t="str">
        <f aca="false">IF(R159="","",IF(R159&lt;=Q159,"Yes","No"))</f>
        <v>No</v>
      </c>
      <c r="U159" s="22" t="str">
        <f aca="false">IF(B159="","",TEXT(YEAR(B159),"0"))</f>
        <v>2024</v>
      </c>
    </row>
    <row r="160" customFormat="false" ht="15" hidden="false" customHeight="false" outlineLevel="0" collapsed="false">
      <c r="A160" s="22" t="s">
        <v>325</v>
      </c>
      <c r="B160" s="23" t="n">
        <v>45360</v>
      </c>
      <c r="C160" s="24" t="n">
        <f aca="false">IF(B160="","",DATE(YEAR(B160),MONTH(B160),1))</f>
        <v>45352</v>
      </c>
      <c r="D160" s="22" t="s">
        <v>36</v>
      </c>
      <c r="E160" s="22" t="s">
        <v>37</v>
      </c>
      <c r="F160" s="22" t="s">
        <v>38</v>
      </c>
      <c r="G160" s="22" t="s">
        <v>119</v>
      </c>
      <c r="H160" s="22" t="s">
        <v>120</v>
      </c>
      <c r="I160" s="22" t="s">
        <v>121</v>
      </c>
      <c r="J160" s="22" t="s">
        <v>122</v>
      </c>
      <c r="K160" s="22" t="s">
        <v>52</v>
      </c>
      <c r="L160" s="25" t="n">
        <v>50</v>
      </c>
      <c r="M160" s="25" t="n">
        <v>1190</v>
      </c>
      <c r="N160" s="26" t="n">
        <f aca="false">IF(L160="","",L160*M160)</f>
        <v>59500</v>
      </c>
      <c r="O160" s="25" t="n">
        <v>806</v>
      </c>
      <c r="P160" s="26" t="n">
        <f aca="false">IF(L160="","",N160-L160*O160)</f>
        <v>19200</v>
      </c>
      <c r="Q160" s="27" t="n">
        <v>25</v>
      </c>
      <c r="R160" s="27" t="n">
        <v>22</v>
      </c>
      <c r="S160" s="22" t="s">
        <v>44</v>
      </c>
      <c r="T160" s="22" t="str">
        <f aca="false">IF(R160="","",IF(R160&lt;=Q160,"Yes","No"))</f>
        <v>Yes</v>
      </c>
      <c r="U160" s="22" t="str">
        <f aca="false">IF(B160="","",TEXT(YEAR(B160),"0"))</f>
        <v>2024</v>
      </c>
    </row>
    <row r="161" customFormat="false" ht="15" hidden="false" customHeight="false" outlineLevel="0" collapsed="false">
      <c r="A161" s="22" t="s">
        <v>326</v>
      </c>
      <c r="B161" s="23" t="n">
        <v>45360</v>
      </c>
      <c r="C161" s="24" t="n">
        <f aca="false">IF(B161="","",DATE(YEAR(B161),MONTH(B161),1))</f>
        <v>45352</v>
      </c>
      <c r="D161" s="22" t="s">
        <v>46</v>
      </c>
      <c r="E161" s="22" t="s">
        <v>47</v>
      </c>
      <c r="F161" s="22" t="s">
        <v>48</v>
      </c>
      <c r="G161" s="22" t="s">
        <v>139</v>
      </c>
      <c r="H161" s="22" t="s">
        <v>140</v>
      </c>
      <c r="I161" s="22" t="s">
        <v>141</v>
      </c>
      <c r="J161" s="22" t="s">
        <v>51</v>
      </c>
      <c r="K161" s="22" t="s">
        <v>43</v>
      </c>
      <c r="L161" s="25" t="n">
        <v>50</v>
      </c>
      <c r="M161" s="25" t="n">
        <v>915</v>
      </c>
      <c r="N161" s="26" t="n">
        <f aca="false">IF(L161="","",L161*M161)</f>
        <v>45750</v>
      </c>
      <c r="O161" s="25" t="n">
        <v>639</v>
      </c>
      <c r="P161" s="26" t="n">
        <f aca="false">IF(L161="","",N161-L161*O161)</f>
        <v>13800</v>
      </c>
      <c r="Q161" s="27" t="n">
        <v>12</v>
      </c>
      <c r="R161" s="27" t="n">
        <v>10</v>
      </c>
      <c r="S161" s="22" t="s">
        <v>44</v>
      </c>
      <c r="T161" s="22" t="str">
        <f aca="false">IF(R161="","",IF(R161&lt;=Q161,"Yes","No"))</f>
        <v>Yes</v>
      </c>
      <c r="U161" s="22" t="str">
        <f aca="false">IF(B161="","",TEXT(YEAR(B161),"0"))</f>
        <v>2024</v>
      </c>
    </row>
    <row r="162" customFormat="false" ht="15" hidden="false" customHeight="false" outlineLevel="0" collapsed="false">
      <c r="A162" s="22" t="s">
        <v>327</v>
      </c>
      <c r="B162" s="23" t="n">
        <v>45365</v>
      </c>
      <c r="C162" s="24" t="n">
        <f aca="false">IF(B162="","",DATE(YEAR(B162),MONTH(B162),1))</f>
        <v>45352</v>
      </c>
      <c r="D162" s="22" t="s">
        <v>103</v>
      </c>
      <c r="E162" s="22" t="s">
        <v>47</v>
      </c>
      <c r="F162" s="22" t="s">
        <v>104</v>
      </c>
      <c r="G162" s="22" t="s">
        <v>99</v>
      </c>
      <c r="H162" s="22" t="s">
        <v>100</v>
      </c>
      <c r="I162" s="22" t="s">
        <v>101</v>
      </c>
      <c r="J162" s="22" t="s">
        <v>80</v>
      </c>
      <c r="K162" s="22" t="s">
        <v>43</v>
      </c>
      <c r="L162" s="25" t="n">
        <v>25</v>
      </c>
      <c r="M162" s="25" t="n">
        <v>1370</v>
      </c>
      <c r="N162" s="26" t="n">
        <f aca="false">IF(L162="","",L162*M162)</f>
        <v>34250</v>
      </c>
      <c r="O162" s="25" t="n">
        <v>912</v>
      </c>
      <c r="P162" s="26" t="n">
        <f aca="false">IF(L162="","",N162-L162*O162)</f>
        <v>11450</v>
      </c>
      <c r="Q162" s="27" t="n">
        <v>15</v>
      </c>
      <c r="R162" s="27" t="n">
        <v>15</v>
      </c>
      <c r="S162" s="22" t="s">
        <v>44</v>
      </c>
      <c r="T162" s="22" t="str">
        <f aca="false">IF(R162="","",IF(R162&lt;=Q162,"Yes","No"))</f>
        <v>Yes</v>
      </c>
      <c r="U162" s="22" t="str">
        <f aca="false">IF(B162="","",TEXT(YEAR(B162),"0"))</f>
        <v>2024</v>
      </c>
    </row>
    <row r="163" customFormat="false" ht="15" hidden="false" customHeight="false" outlineLevel="0" collapsed="false">
      <c r="A163" s="22" t="s">
        <v>328</v>
      </c>
      <c r="B163" s="23" t="n">
        <v>45367</v>
      </c>
      <c r="C163" s="24" t="n">
        <f aca="false">IF(B163="","",DATE(YEAR(B163),MONTH(B163),1))</f>
        <v>45352</v>
      </c>
      <c r="D163" s="22" t="s">
        <v>36</v>
      </c>
      <c r="E163" s="22" t="s">
        <v>37</v>
      </c>
      <c r="F163" s="22" t="s">
        <v>38</v>
      </c>
      <c r="G163" s="22" t="s">
        <v>119</v>
      </c>
      <c r="H163" s="22" t="s">
        <v>120</v>
      </c>
      <c r="I163" s="22" t="s">
        <v>121</v>
      </c>
      <c r="J163" s="22" t="s">
        <v>122</v>
      </c>
      <c r="K163" s="22" t="s">
        <v>43</v>
      </c>
      <c r="L163" s="25" t="n">
        <v>50</v>
      </c>
      <c r="M163" s="25" t="n">
        <v>1200</v>
      </c>
      <c r="N163" s="26" t="n">
        <f aca="false">IF(L163="","",L163*M163)</f>
        <v>60000</v>
      </c>
      <c r="O163" s="25" t="n">
        <v>805</v>
      </c>
      <c r="P163" s="26" t="n">
        <f aca="false">IF(L163="","",N163-L163*O163)</f>
        <v>19750</v>
      </c>
      <c r="Q163" s="27" t="n">
        <v>25</v>
      </c>
      <c r="R163" s="27" t="n">
        <v>21</v>
      </c>
      <c r="S163" s="22" t="s">
        <v>44</v>
      </c>
      <c r="T163" s="22" t="str">
        <f aca="false">IF(R163="","",IF(R163&lt;=Q163,"Yes","No"))</f>
        <v>Yes</v>
      </c>
      <c r="U163" s="22" t="str">
        <f aca="false">IF(B163="","",TEXT(YEAR(B163),"0"))</f>
        <v>2024</v>
      </c>
    </row>
    <row r="164" customFormat="false" ht="15" hidden="false" customHeight="false" outlineLevel="0" collapsed="false">
      <c r="A164" s="22" t="s">
        <v>329</v>
      </c>
      <c r="B164" s="23" t="n">
        <v>45369</v>
      </c>
      <c r="C164" s="24" t="n">
        <f aca="false">IF(B164="","",DATE(YEAR(B164),MONTH(B164),1))</f>
        <v>45352</v>
      </c>
      <c r="D164" s="22" t="s">
        <v>36</v>
      </c>
      <c r="E164" s="22" t="s">
        <v>37</v>
      </c>
      <c r="F164" s="22" t="s">
        <v>38</v>
      </c>
      <c r="G164" s="22" t="s">
        <v>257</v>
      </c>
      <c r="H164" s="22" t="s">
        <v>258</v>
      </c>
      <c r="I164" s="22" t="s">
        <v>259</v>
      </c>
      <c r="J164" s="22" t="s">
        <v>122</v>
      </c>
      <c r="K164" s="22" t="s">
        <v>52</v>
      </c>
      <c r="L164" s="25" t="n">
        <v>100</v>
      </c>
      <c r="M164" s="25" t="n">
        <v>1055</v>
      </c>
      <c r="N164" s="26" t="n">
        <f aca="false">IF(L164="","",L164*M164)</f>
        <v>105500</v>
      </c>
      <c r="O164" s="25" t="n">
        <v>762</v>
      </c>
      <c r="P164" s="26" t="n">
        <f aca="false">IF(L164="","",N164-L164*O164)</f>
        <v>29300</v>
      </c>
      <c r="Q164" s="27" t="n">
        <v>25</v>
      </c>
      <c r="R164" s="27" t="n">
        <v>23</v>
      </c>
      <c r="S164" s="22" t="s">
        <v>44</v>
      </c>
      <c r="T164" s="22" t="str">
        <f aca="false">IF(R164="","",IF(R164&lt;=Q164,"Yes","No"))</f>
        <v>Yes</v>
      </c>
      <c r="U164" s="22" t="str">
        <f aca="false">IF(B164="","",TEXT(YEAR(B164),"0"))</f>
        <v>2024</v>
      </c>
    </row>
    <row r="165" customFormat="false" ht="15" hidden="false" customHeight="false" outlineLevel="0" collapsed="false">
      <c r="A165" s="22" t="s">
        <v>330</v>
      </c>
      <c r="B165" s="23" t="n">
        <v>45370</v>
      </c>
      <c r="C165" s="24" t="n">
        <f aca="false">IF(B165="","",DATE(YEAR(B165),MONTH(B165),1))</f>
        <v>45352</v>
      </c>
      <c r="D165" s="22" t="s">
        <v>61</v>
      </c>
      <c r="E165" s="22" t="s">
        <v>37</v>
      </c>
      <c r="F165" s="22" t="s">
        <v>62</v>
      </c>
      <c r="G165" s="22" t="s">
        <v>134</v>
      </c>
      <c r="H165" s="22" t="s">
        <v>135</v>
      </c>
      <c r="I165" s="22" t="s">
        <v>136</v>
      </c>
      <c r="J165" s="22" t="s">
        <v>66</v>
      </c>
      <c r="K165" s="22" t="s">
        <v>145</v>
      </c>
      <c r="L165" s="25" t="n">
        <v>100</v>
      </c>
      <c r="M165" s="25" t="n">
        <v>735</v>
      </c>
      <c r="N165" s="26" t="n">
        <f aca="false">IF(L165="","",L165*M165)</f>
        <v>73500</v>
      </c>
      <c r="O165" s="25" t="n">
        <v>530</v>
      </c>
      <c r="P165" s="26" t="n">
        <f aca="false">IF(L165="","",N165-L165*O165)</f>
        <v>20500</v>
      </c>
      <c r="Q165" s="27" t="n">
        <v>25</v>
      </c>
      <c r="R165" s="27" t="n">
        <v>20</v>
      </c>
      <c r="S165" s="22" t="s">
        <v>44</v>
      </c>
      <c r="T165" s="22" t="str">
        <f aca="false">IF(R165="","",IF(R165&lt;=Q165,"Yes","No"))</f>
        <v>Yes</v>
      </c>
      <c r="U165" s="22" t="str">
        <f aca="false">IF(B165="","",TEXT(YEAR(B165),"0"))</f>
        <v>2024</v>
      </c>
    </row>
    <row r="166" customFormat="false" ht="15" hidden="false" customHeight="false" outlineLevel="0" collapsed="false">
      <c r="A166" s="22" t="s">
        <v>331</v>
      </c>
      <c r="B166" s="23" t="n">
        <v>45371</v>
      </c>
      <c r="C166" s="24" t="n">
        <f aca="false">IF(B166="","",DATE(YEAR(B166),MONTH(B166),1))</f>
        <v>45352</v>
      </c>
      <c r="D166" s="22" t="s">
        <v>71</v>
      </c>
      <c r="E166" s="22" t="s">
        <v>37</v>
      </c>
      <c r="F166" s="22" t="s">
        <v>72</v>
      </c>
      <c r="G166" s="22" t="s">
        <v>167</v>
      </c>
      <c r="H166" s="22" t="s">
        <v>168</v>
      </c>
      <c r="I166" s="22" t="s">
        <v>41</v>
      </c>
      <c r="J166" s="22" t="s">
        <v>150</v>
      </c>
      <c r="K166" s="22" t="s">
        <v>130</v>
      </c>
      <c r="L166" s="25" t="n">
        <v>50</v>
      </c>
      <c r="M166" s="25" t="n">
        <v>1085</v>
      </c>
      <c r="N166" s="26" t="n">
        <f aca="false">IF(L166="","",L166*M166)</f>
        <v>54250</v>
      </c>
      <c r="O166" s="25" t="n">
        <v>730</v>
      </c>
      <c r="P166" s="26" t="n">
        <f aca="false">IF(L166="","",N166-L166*O166)</f>
        <v>17750</v>
      </c>
      <c r="Q166" s="27" t="n">
        <v>30</v>
      </c>
      <c r="R166" s="27" t="n">
        <v>28</v>
      </c>
      <c r="S166" s="22" t="s">
        <v>44</v>
      </c>
      <c r="T166" s="22" t="str">
        <f aca="false">IF(R166="","",IF(R166&lt;=Q166,"Yes","No"))</f>
        <v>Yes</v>
      </c>
      <c r="U166" s="22" t="str">
        <f aca="false">IF(B166="","",TEXT(YEAR(B166),"0"))</f>
        <v>2024</v>
      </c>
    </row>
    <row r="167" customFormat="false" ht="15" hidden="false" customHeight="false" outlineLevel="0" collapsed="false">
      <c r="A167" s="22" t="s">
        <v>332</v>
      </c>
      <c r="B167" s="23" t="n">
        <v>45371</v>
      </c>
      <c r="C167" s="24" t="n">
        <f aca="false">IF(B167="","",DATE(YEAR(B167),MONTH(B167),1))</f>
        <v>45352</v>
      </c>
      <c r="D167" s="22" t="s">
        <v>46</v>
      </c>
      <c r="E167" s="22" t="s">
        <v>47</v>
      </c>
      <c r="F167" s="22" t="s">
        <v>48</v>
      </c>
      <c r="G167" s="22" t="s">
        <v>225</v>
      </c>
      <c r="H167" s="22" t="s">
        <v>226</v>
      </c>
      <c r="I167" s="22" t="s">
        <v>41</v>
      </c>
      <c r="J167" s="22" t="s">
        <v>42</v>
      </c>
      <c r="K167" s="22" t="s">
        <v>52</v>
      </c>
      <c r="L167" s="25" t="n">
        <v>200</v>
      </c>
      <c r="M167" s="25" t="n">
        <v>910</v>
      </c>
      <c r="N167" s="26" t="n">
        <f aca="false">IF(L167="","",L167*M167)</f>
        <v>182000</v>
      </c>
      <c r="O167" s="25" t="n">
        <v>653</v>
      </c>
      <c r="P167" s="26" t="n">
        <f aca="false">IF(L167="","",N167-L167*O167)</f>
        <v>51400</v>
      </c>
      <c r="Q167" s="27" t="n">
        <v>15</v>
      </c>
      <c r="R167" s="27" t="n">
        <v>15</v>
      </c>
      <c r="S167" s="22" t="s">
        <v>44</v>
      </c>
      <c r="T167" s="22" t="str">
        <f aca="false">IF(R167="","",IF(R167&lt;=Q167,"Yes","No"))</f>
        <v>Yes</v>
      </c>
      <c r="U167" s="22" t="str">
        <f aca="false">IF(B167="","",TEXT(YEAR(B167),"0"))</f>
        <v>2024</v>
      </c>
    </row>
    <row r="168" customFormat="false" ht="15" hidden="false" customHeight="false" outlineLevel="0" collapsed="false">
      <c r="A168" s="22" t="s">
        <v>333</v>
      </c>
      <c r="B168" s="23" t="n">
        <v>45373</v>
      </c>
      <c r="C168" s="24" t="n">
        <f aca="false">IF(B168="","",DATE(YEAR(B168),MONTH(B168),1))</f>
        <v>45352</v>
      </c>
      <c r="D168" s="22" t="s">
        <v>108</v>
      </c>
      <c r="E168" s="22" t="s">
        <v>37</v>
      </c>
      <c r="F168" s="22" t="s">
        <v>109</v>
      </c>
      <c r="G168" s="22" t="s">
        <v>225</v>
      </c>
      <c r="H168" s="22" t="s">
        <v>226</v>
      </c>
      <c r="I168" s="22" t="s">
        <v>41</v>
      </c>
      <c r="J168" s="22" t="s">
        <v>42</v>
      </c>
      <c r="K168" s="22" t="s">
        <v>130</v>
      </c>
      <c r="L168" s="25" t="n">
        <v>100</v>
      </c>
      <c r="M168" s="25" t="n">
        <v>850</v>
      </c>
      <c r="N168" s="26" t="n">
        <f aca="false">IF(L168="","",L168*M168)</f>
        <v>85000</v>
      </c>
      <c r="O168" s="25" t="n">
        <v>636</v>
      </c>
      <c r="P168" s="26" t="n">
        <f aca="false">IF(L168="","",N168-L168*O168)</f>
        <v>21400</v>
      </c>
      <c r="Q168" s="27" t="n">
        <v>25</v>
      </c>
      <c r="R168" s="27" t="n">
        <v>25</v>
      </c>
      <c r="S168" s="22" t="s">
        <v>44</v>
      </c>
      <c r="T168" s="22" t="str">
        <f aca="false">IF(R168="","",IF(R168&lt;=Q168,"Yes","No"))</f>
        <v>Yes</v>
      </c>
      <c r="U168" s="22" t="str">
        <f aca="false">IF(B168="","",TEXT(YEAR(B168),"0"))</f>
        <v>2024</v>
      </c>
    </row>
    <row r="169" customFormat="false" ht="15" hidden="false" customHeight="false" outlineLevel="0" collapsed="false">
      <c r="A169" s="22" t="s">
        <v>334</v>
      </c>
      <c r="B169" s="23" t="n">
        <v>45374</v>
      </c>
      <c r="C169" s="24" t="n">
        <f aca="false">IF(B169="","",DATE(YEAR(B169),MONTH(B169),1))</f>
        <v>45352</v>
      </c>
      <c r="D169" s="22" t="s">
        <v>103</v>
      </c>
      <c r="E169" s="22" t="s">
        <v>47</v>
      </c>
      <c r="F169" s="22" t="s">
        <v>104</v>
      </c>
      <c r="G169" s="22" t="s">
        <v>119</v>
      </c>
      <c r="H169" s="22" t="s">
        <v>120</v>
      </c>
      <c r="I169" s="22" t="s">
        <v>121</v>
      </c>
      <c r="J169" s="22" t="s">
        <v>122</v>
      </c>
      <c r="K169" s="22" t="s">
        <v>43</v>
      </c>
      <c r="L169" s="25" t="n">
        <v>100</v>
      </c>
      <c r="M169" s="25" t="n">
        <v>1230</v>
      </c>
      <c r="N169" s="26" t="n">
        <f aca="false">IF(L169="","",L169*M169)</f>
        <v>123000</v>
      </c>
      <c r="O169" s="25" t="n">
        <v>805</v>
      </c>
      <c r="P169" s="26" t="n">
        <f aca="false">IF(L169="","",N169-L169*O169)</f>
        <v>42500</v>
      </c>
      <c r="Q169" s="27" t="n">
        <v>10</v>
      </c>
      <c r="R169" s="27" t="n">
        <v>10</v>
      </c>
      <c r="S169" s="22" t="s">
        <v>44</v>
      </c>
      <c r="T169" s="22" t="str">
        <f aca="false">IF(R169="","",IF(R169&lt;=Q169,"Yes","No"))</f>
        <v>Yes</v>
      </c>
      <c r="U169" s="22" t="str">
        <f aca="false">IF(B169="","",TEXT(YEAR(B169),"0"))</f>
        <v>2024</v>
      </c>
    </row>
    <row r="170" customFormat="false" ht="15" hidden="false" customHeight="false" outlineLevel="0" collapsed="false">
      <c r="A170" s="22" t="s">
        <v>335</v>
      </c>
      <c r="B170" s="23" t="n">
        <v>45376</v>
      </c>
      <c r="C170" s="24" t="n">
        <f aca="false">IF(B170="","",DATE(YEAR(B170),MONTH(B170),1))</f>
        <v>45352</v>
      </c>
      <c r="D170" s="22" t="s">
        <v>108</v>
      </c>
      <c r="E170" s="22" t="s">
        <v>37</v>
      </c>
      <c r="F170" s="22" t="s">
        <v>109</v>
      </c>
      <c r="G170" s="22" t="s">
        <v>82</v>
      </c>
      <c r="H170" s="22" t="s">
        <v>83</v>
      </c>
      <c r="I170" s="22" t="s">
        <v>41</v>
      </c>
      <c r="J170" s="22" t="s">
        <v>66</v>
      </c>
      <c r="K170" s="22" t="s">
        <v>67</v>
      </c>
      <c r="L170" s="25" t="n">
        <v>50</v>
      </c>
      <c r="M170" s="25" t="n">
        <v>670</v>
      </c>
      <c r="N170" s="26" t="n">
        <f aca="false">IF(L170="","",L170*M170)</f>
        <v>33500</v>
      </c>
      <c r="O170" s="25" t="n">
        <v>491</v>
      </c>
      <c r="P170" s="26" t="n">
        <f aca="false">IF(L170="","",N170-L170*O170)</f>
        <v>8950</v>
      </c>
      <c r="Q170" s="27" t="n">
        <v>25</v>
      </c>
      <c r="R170" s="27" t="n">
        <v>27</v>
      </c>
      <c r="S170" s="22" t="s">
        <v>44</v>
      </c>
      <c r="T170" s="22" t="str">
        <f aca="false">IF(R170="","",IF(R170&lt;=Q170,"Yes","No"))</f>
        <v>No</v>
      </c>
      <c r="U170" s="22" t="str">
        <f aca="false">IF(B170="","",TEXT(YEAR(B170),"0"))</f>
        <v>2024</v>
      </c>
    </row>
    <row r="171" customFormat="false" ht="15" hidden="false" customHeight="false" outlineLevel="0" collapsed="false">
      <c r="A171" s="22" t="s">
        <v>336</v>
      </c>
      <c r="B171" s="23" t="n">
        <v>45379</v>
      </c>
      <c r="C171" s="24" t="n">
        <f aca="false">IF(B171="","",DATE(YEAR(B171),MONTH(B171),1))</f>
        <v>45352</v>
      </c>
      <c r="D171" s="22" t="s">
        <v>36</v>
      </c>
      <c r="E171" s="22" t="s">
        <v>37</v>
      </c>
      <c r="F171" s="22" t="s">
        <v>38</v>
      </c>
      <c r="G171" s="22" t="s">
        <v>99</v>
      </c>
      <c r="H171" s="22" t="s">
        <v>100</v>
      </c>
      <c r="I171" s="22" t="s">
        <v>101</v>
      </c>
      <c r="J171" s="22" t="s">
        <v>80</v>
      </c>
      <c r="K171" s="22" t="s">
        <v>43</v>
      </c>
      <c r="L171" s="25" t="n">
        <v>500</v>
      </c>
      <c r="M171" s="25" t="n">
        <v>1250</v>
      </c>
      <c r="N171" s="26" t="n">
        <f aca="false">IF(L171="","",L171*M171)</f>
        <v>625000</v>
      </c>
      <c r="O171" s="25" t="n">
        <v>922</v>
      </c>
      <c r="P171" s="26" t="n">
        <f aca="false">IF(L171="","",N171-L171*O171)</f>
        <v>164000</v>
      </c>
      <c r="Q171" s="27" t="n">
        <v>25</v>
      </c>
      <c r="R171" s="27" t="n">
        <v>18</v>
      </c>
      <c r="S171" s="22" t="s">
        <v>44</v>
      </c>
      <c r="T171" s="22" t="str">
        <f aca="false">IF(R171="","",IF(R171&lt;=Q171,"Yes","No"))</f>
        <v>Yes</v>
      </c>
      <c r="U171" s="22" t="str">
        <f aca="false">IF(B171="","",TEXT(YEAR(B171),"0"))</f>
        <v>2024</v>
      </c>
    </row>
    <row r="172" customFormat="false" ht="15" hidden="false" customHeight="false" outlineLevel="0" collapsed="false">
      <c r="A172" s="22" t="s">
        <v>337</v>
      </c>
      <c r="B172" s="23" t="n">
        <v>45380</v>
      </c>
      <c r="C172" s="24" t="n">
        <f aca="false">IF(B172="","",DATE(YEAR(B172),MONTH(B172),1))</f>
        <v>45352</v>
      </c>
      <c r="D172" s="22" t="s">
        <v>61</v>
      </c>
      <c r="E172" s="22" t="s">
        <v>37</v>
      </c>
      <c r="F172" s="22" t="s">
        <v>62</v>
      </c>
      <c r="G172" s="22" t="s">
        <v>317</v>
      </c>
      <c r="H172" s="22" t="s">
        <v>318</v>
      </c>
      <c r="I172" s="22" t="s">
        <v>319</v>
      </c>
      <c r="J172" s="22" t="s">
        <v>122</v>
      </c>
      <c r="K172" s="22" t="s">
        <v>52</v>
      </c>
      <c r="L172" s="25" t="n">
        <v>50</v>
      </c>
      <c r="M172" s="25" t="n">
        <v>1255</v>
      </c>
      <c r="N172" s="26" t="n">
        <f aca="false">IF(L172="","",L172*M172)</f>
        <v>62750</v>
      </c>
      <c r="O172" s="25" t="n">
        <v>852</v>
      </c>
      <c r="P172" s="26" t="n">
        <f aca="false">IF(L172="","",N172-L172*O172)</f>
        <v>20150</v>
      </c>
      <c r="Q172" s="27" t="n">
        <v>30</v>
      </c>
      <c r="R172" s="27" t="n">
        <v>31</v>
      </c>
      <c r="S172" s="22" t="s">
        <v>44</v>
      </c>
      <c r="T172" s="22" t="str">
        <f aca="false">IF(R172="","",IF(R172&lt;=Q172,"Yes","No"))</f>
        <v>No</v>
      </c>
      <c r="U172" s="22" t="str">
        <f aca="false">IF(B172="","",TEXT(YEAR(B172),"0"))</f>
        <v>2024</v>
      </c>
    </row>
    <row r="173" customFormat="false" ht="15" hidden="false" customHeight="false" outlineLevel="0" collapsed="false">
      <c r="A173" s="22" t="s">
        <v>338</v>
      </c>
      <c r="B173" s="23" t="n">
        <v>45384</v>
      </c>
      <c r="C173" s="24" t="n">
        <f aca="false">IF(B173="","",DATE(YEAR(B173),MONTH(B173),1))</f>
        <v>45383</v>
      </c>
      <c r="D173" s="22" t="s">
        <v>69</v>
      </c>
      <c r="E173" s="22" t="s">
        <v>37</v>
      </c>
      <c r="F173" s="22" t="s">
        <v>62</v>
      </c>
      <c r="G173" s="22" t="s">
        <v>188</v>
      </c>
      <c r="H173" s="22" t="s">
        <v>189</v>
      </c>
      <c r="I173" s="22" t="s">
        <v>41</v>
      </c>
      <c r="J173" s="22" t="s">
        <v>42</v>
      </c>
      <c r="K173" s="22" t="s">
        <v>67</v>
      </c>
      <c r="L173" s="25" t="n">
        <v>100</v>
      </c>
      <c r="M173" s="25" t="n">
        <v>875</v>
      </c>
      <c r="N173" s="26" t="n">
        <f aca="false">IF(L173="","",L173*M173)</f>
        <v>87500</v>
      </c>
      <c r="O173" s="25" t="n">
        <v>637</v>
      </c>
      <c r="P173" s="26" t="n">
        <f aca="false">IF(L173="","",N173-L173*O173)</f>
        <v>23800</v>
      </c>
      <c r="Q173" s="27" t="n">
        <v>21</v>
      </c>
      <c r="R173" s="27" t="n">
        <v>21</v>
      </c>
      <c r="S173" s="22" t="s">
        <v>44</v>
      </c>
      <c r="T173" s="22" t="str">
        <f aca="false">IF(R173="","",IF(R173&lt;=Q173,"Yes","No"))</f>
        <v>Yes</v>
      </c>
      <c r="U173" s="22" t="str">
        <f aca="false">IF(B173="","",TEXT(YEAR(B173),"0"))</f>
        <v>2024</v>
      </c>
    </row>
    <row r="174" customFormat="false" ht="15" hidden="false" customHeight="false" outlineLevel="0" collapsed="false">
      <c r="A174" s="22" t="s">
        <v>339</v>
      </c>
      <c r="B174" s="23" t="n">
        <v>45384</v>
      </c>
      <c r="C174" s="24" t="n">
        <f aca="false">IF(B174="","",DATE(YEAR(B174),MONTH(B174),1))</f>
        <v>45383</v>
      </c>
      <c r="D174" s="22" t="s">
        <v>36</v>
      </c>
      <c r="E174" s="22" t="s">
        <v>37</v>
      </c>
      <c r="F174" s="22" t="s">
        <v>38</v>
      </c>
      <c r="G174" s="22" t="s">
        <v>82</v>
      </c>
      <c r="H174" s="22" t="s">
        <v>83</v>
      </c>
      <c r="I174" s="22" t="s">
        <v>41</v>
      </c>
      <c r="J174" s="22" t="s">
        <v>66</v>
      </c>
      <c r="K174" s="22" t="s">
        <v>52</v>
      </c>
      <c r="L174" s="25" t="n">
        <v>100</v>
      </c>
      <c r="M174" s="25" t="n">
        <v>640</v>
      </c>
      <c r="N174" s="26" t="n">
        <f aca="false">IF(L174="","",L174*M174)</f>
        <v>64000</v>
      </c>
      <c r="O174" s="25" t="n">
        <v>491</v>
      </c>
      <c r="P174" s="26" t="n">
        <f aca="false">IF(L174="","",N174-L174*O174)</f>
        <v>14900</v>
      </c>
      <c r="Q174" s="27" t="n">
        <v>21</v>
      </c>
      <c r="R174" s="27" t="n">
        <v>20</v>
      </c>
      <c r="S174" s="22" t="s">
        <v>44</v>
      </c>
      <c r="T174" s="22" t="str">
        <f aca="false">IF(R174="","",IF(R174&lt;=Q174,"Yes","No"))</f>
        <v>Yes</v>
      </c>
      <c r="U174" s="22" t="str">
        <f aca="false">IF(B174="","",TEXT(YEAR(B174),"0"))</f>
        <v>2024</v>
      </c>
    </row>
    <row r="175" customFormat="false" ht="15" hidden="false" customHeight="false" outlineLevel="0" collapsed="false">
      <c r="A175" s="22" t="s">
        <v>340</v>
      </c>
      <c r="B175" s="23" t="n">
        <v>45392</v>
      </c>
      <c r="C175" s="24" t="n">
        <f aca="false">IF(B175="","",DATE(YEAR(B175),MONTH(B175),1))</f>
        <v>45383</v>
      </c>
      <c r="D175" s="22" t="s">
        <v>96</v>
      </c>
      <c r="E175" s="22" t="s">
        <v>47</v>
      </c>
      <c r="F175" s="22" t="s">
        <v>97</v>
      </c>
      <c r="G175" s="22" t="s">
        <v>297</v>
      </c>
      <c r="H175" s="22" t="s">
        <v>298</v>
      </c>
      <c r="I175" s="22" t="s">
        <v>41</v>
      </c>
      <c r="J175" s="22" t="s">
        <v>80</v>
      </c>
      <c r="K175" s="22" t="s">
        <v>67</v>
      </c>
      <c r="L175" s="25" t="n">
        <v>200</v>
      </c>
      <c r="M175" s="25" t="n">
        <v>1400</v>
      </c>
      <c r="N175" s="26" t="n">
        <f aca="false">IF(L175="","",L175*M175)</f>
        <v>280000</v>
      </c>
      <c r="O175" s="25" t="n">
        <v>926</v>
      </c>
      <c r="P175" s="26" t="n">
        <f aca="false">IF(L175="","",N175-L175*O175)</f>
        <v>94800</v>
      </c>
      <c r="Q175" s="27" t="n">
        <v>12</v>
      </c>
      <c r="R175" s="27" t="n">
        <v>12</v>
      </c>
      <c r="S175" s="22" t="s">
        <v>44</v>
      </c>
      <c r="T175" s="22" t="str">
        <f aca="false">IF(R175="","",IF(R175&lt;=Q175,"Yes","No"))</f>
        <v>Yes</v>
      </c>
      <c r="U175" s="22" t="str">
        <f aca="false">IF(B175="","",TEXT(YEAR(B175),"0"))</f>
        <v>2024</v>
      </c>
    </row>
    <row r="176" customFormat="false" ht="15" hidden="false" customHeight="false" outlineLevel="0" collapsed="false">
      <c r="A176" s="22" t="s">
        <v>341</v>
      </c>
      <c r="B176" s="23" t="n">
        <v>45393</v>
      </c>
      <c r="C176" s="24" t="n">
        <f aca="false">IF(B176="","",DATE(YEAR(B176),MONTH(B176),1))</f>
        <v>45383</v>
      </c>
      <c r="D176" s="22" t="s">
        <v>108</v>
      </c>
      <c r="E176" s="22" t="s">
        <v>37</v>
      </c>
      <c r="F176" s="22" t="s">
        <v>109</v>
      </c>
      <c r="G176" s="22" t="s">
        <v>148</v>
      </c>
      <c r="H176" s="22" t="s">
        <v>149</v>
      </c>
      <c r="I176" s="22" t="s">
        <v>41</v>
      </c>
      <c r="J176" s="22" t="s">
        <v>150</v>
      </c>
      <c r="K176" s="22" t="s">
        <v>67</v>
      </c>
      <c r="L176" s="25" t="n">
        <v>50</v>
      </c>
      <c r="M176" s="25" t="n">
        <v>1060</v>
      </c>
      <c r="N176" s="26" t="n">
        <f aca="false">IF(L176="","",L176*M176)</f>
        <v>53000</v>
      </c>
      <c r="O176" s="25" t="n">
        <v>752</v>
      </c>
      <c r="P176" s="26" t="n">
        <f aca="false">IF(L176="","",N176-L176*O176)</f>
        <v>15400</v>
      </c>
      <c r="Q176" s="27" t="n">
        <v>25</v>
      </c>
      <c r="R176" s="27" t="n">
        <v>21</v>
      </c>
      <c r="S176" s="22" t="s">
        <v>44</v>
      </c>
      <c r="T176" s="22" t="str">
        <f aca="false">IF(R176="","",IF(R176&lt;=Q176,"Yes","No"))</f>
        <v>Yes</v>
      </c>
      <c r="U176" s="22" t="str">
        <f aca="false">IF(B176="","",TEXT(YEAR(B176),"0"))</f>
        <v>2024</v>
      </c>
    </row>
    <row r="177" customFormat="false" ht="15" hidden="false" customHeight="false" outlineLevel="0" collapsed="false">
      <c r="A177" s="22" t="s">
        <v>342</v>
      </c>
      <c r="B177" s="23" t="n">
        <v>45395</v>
      </c>
      <c r="C177" s="24" t="n">
        <f aca="false">IF(B177="","",DATE(YEAR(B177),MONTH(B177),1))</f>
        <v>45383</v>
      </c>
      <c r="D177" s="22" t="s">
        <v>46</v>
      </c>
      <c r="E177" s="22" t="s">
        <v>47</v>
      </c>
      <c r="F177" s="22" t="s">
        <v>48</v>
      </c>
      <c r="G177" s="22" t="s">
        <v>171</v>
      </c>
      <c r="H177" s="22" t="s">
        <v>172</v>
      </c>
      <c r="I177" s="22" t="s">
        <v>173</v>
      </c>
      <c r="J177" s="22" t="s">
        <v>113</v>
      </c>
      <c r="K177" s="22" t="s">
        <v>67</v>
      </c>
      <c r="L177" s="25" t="n">
        <v>500</v>
      </c>
      <c r="M177" s="25" t="n">
        <v>970</v>
      </c>
      <c r="N177" s="26" t="n">
        <f aca="false">IF(L177="","",L177*M177)</f>
        <v>485000</v>
      </c>
      <c r="O177" s="25" t="n">
        <v>695</v>
      </c>
      <c r="P177" s="26" t="n">
        <f aca="false">IF(L177="","",N177-L177*O177)</f>
        <v>137500</v>
      </c>
      <c r="Q177" s="27" t="n">
        <v>10</v>
      </c>
      <c r="R177" s="27" t="n">
        <v>7</v>
      </c>
      <c r="S177" s="22" t="s">
        <v>44</v>
      </c>
      <c r="T177" s="22" t="str">
        <f aca="false">IF(R177="","",IF(R177&lt;=Q177,"Yes","No"))</f>
        <v>Yes</v>
      </c>
      <c r="U177" s="22" t="str">
        <f aca="false">IF(B177="","",TEXT(YEAR(B177),"0"))</f>
        <v>2024</v>
      </c>
    </row>
    <row r="178" customFormat="false" ht="15" hidden="false" customHeight="false" outlineLevel="0" collapsed="false">
      <c r="A178" s="22" t="s">
        <v>343</v>
      </c>
      <c r="B178" s="23" t="n">
        <v>45400</v>
      </c>
      <c r="C178" s="24" t="n">
        <f aca="false">IF(B178="","",DATE(YEAR(B178),MONTH(B178),1))</f>
        <v>45383</v>
      </c>
      <c r="D178" s="22" t="s">
        <v>61</v>
      </c>
      <c r="E178" s="22" t="s">
        <v>37</v>
      </c>
      <c r="F178" s="22" t="s">
        <v>62</v>
      </c>
      <c r="G178" s="22" t="s">
        <v>73</v>
      </c>
      <c r="H178" s="22" t="s">
        <v>74</v>
      </c>
      <c r="I178" s="22" t="s">
        <v>75</v>
      </c>
      <c r="J178" s="22" t="s">
        <v>51</v>
      </c>
      <c r="K178" s="22" t="s">
        <v>76</v>
      </c>
      <c r="L178" s="25" t="n">
        <v>50</v>
      </c>
      <c r="M178" s="25" t="n">
        <v>835</v>
      </c>
      <c r="N178" s="26" t="n">
        <f aca="false">IF(L178="","",L178*M178)</f>
        <v>41750</v>
      </c>
      <c r="O178" s="25" t="n">
        <v>614</v>
      </c>
      <c r="P178" s="26" t="n">
        <f aca="false">IF(L178="","",N178-L178*O178)</f>
        <v>11050</v>
      </c>
      <c r="Q178" s="27" t="n">
        <v>25</v>
      </c>
      <c r="R178" s="27" t="n">
        <v>19</v>
      </c>
      <c r="S178" s="22" t="s">
        <v>44</v>
      </c>
      <c r="T178" s="22" t="str">
        <f aca="false">IF(R178="","",IF(R178&lt;=Q178,"Yes","No"))</f>
        <v>Yes</v>
      </c>
      <c r="U178" s="22" t="str">
        <f aca="false">IF(B178="","",TEXT(YEAR(B178),"0"))</f>
        <v>2024</v>
      </c>
    </row>
    <row r="179" customFormat="false" ht="15" hidden="false" customHeight="false" outlineLevel="0" collapsed="false">
      <c r="A179" s="22" t="s">
        <v>344</v>
      </c>
      <c r="B179" s="23" t="n">
        <v>45406</v>
      </c>
      <c r="C179" s="24" t="n">
        <f aca="false">IF(B179="","",DATE(YEAR(B179),MONTH(B179),1))</f>
        <v>45383</v>
      </c>
      <c r="D179" s="22" t="s">
        <v>61</v>
      </c>
      <c r="E179" s="22" t="s">
        <v>37</v>
      </c>
      <c r="F179" s="22" t="s">
        <v>62</v>
      </c>
      <c r="G179" s="22" t="s">
        <v>85</v>
      </c>
      <c r="H179" s="22" t="s">
        <v>86</v>
      </c>
      <c r="I179" s="22" t="s">
        <v>87</v>
      </c>
      <c r="J179" s="22" t="s">
        <v>51</v>
      </c>
      <c r="K179" s="22" t="s">
        <v>145</v>
      </c>
      <c r="L179" s="25" t="n">
        <v>200</v>
      </c>
      <c r="M179" s="25" t="n">
        <v>865</v>
      </c>
      <c r="N179" s="26" t="n">
        <f aca="false">IF(L179="","",L179*M179)</f>
        <v>173000</v>
      </c>
      <c r="O179" s="25" t="n">
        <v>631</v>
      </c>
      <c r="P179" s="26" t="n">
        <f aca="false">IF(L179="","",N179-L179*O179)</f>
        <v>46800</v>
      </c>
      <c r="Q179" s="27" t="n">
        <v>30</v>
      </c>
      <c r="R179" s="27" t="n">
        <v>31</v>
      </c>
      <c r="S179" s="22" t="s">
        <v>44</v>
      </c>
      <c r="T179" s="22" t="str">
        <f aca="false">IF(R179="","",IF(R179&lt;=Q179,"Yes","No"))</f>
        <v>No</v>
      </c>
      <c r="U179" s="22" t="str">
        <f aca="false">IF(B179="","",TEXT(YEAR(B179),"0"))</f>
        <v>2024</v>
      </c>
    </row>
    <row r="180" customFormat="false" ht="15" hidden="false" customHeight="false" outlineLevel="0" collapsed="false">
      <c r="A180" s="22" t="s">
        <v>345</v>
      </c>
      <c r="B180" s="23" t="n">
        <v>45409</v>
      </c>
      <c r="C180" s="24" t="n">
        <f aca="false">IF(B180="","",DATE(YEAR(B180),MONTH(B180),1))</f>
        <v>45383</v>
      </c>
      <c r="D180" s="22" t="s">
        <v>108</v>
      </c>
      <c r="E180" s="22" t="s">
        <v>37</v>
      </c>
      <c r="F180" s="22" t="s">
        <v>109</v>
      </c>
      <c r="G180" s="22" t="s">
        <v>155</v>
      </c>
      <c r="H180" s="22" t="s">
        <v>156</v>
      </c>
      <c r="I180" s="22" t="s">
        <v>157</v>
      </c>
      <c r="J180" s="22" t="s">
        <v>122</v>
      </c>
      <c r="K180" s="22" t="s">
        <v>67</v>
      </c>
      <c r="L180" s="25" t="n">
        <v>100</v>
      </c>
      <c r="M180" s="25" t="n">
        <v>1160</v>
      </c>
      <c r="N180" s="26" t="n">
        <f aca="false">IF(L180="","",L180*M180)</f>
        <v>116000</v>
      </c>
      <c r="O180" s="25" t="n">
        <v>785</v>
      </c>
      <c r="P180" s="26" t="n">
        <f aca="false">IF(L180="","",N180-L180*O180)</f>
        <v>37500</v>
      </c>
      <c r="Q180" s="27" t="n">
        <v>30</v>
      </c>
      <c r="R180" s="27" t="n">
        <v>30</v>
      </c>
      <c r="S180" s="22" t="s">
        <v>44</v>
      </c>
      <c r="T180" s="22" t="str">
        <f aca="false">IF(R180="","",IF(R180&lt;=Q180,"Yes","No"))</f>
        <v>Yes</v>
      </c>
      <c r="U180" s="22" t="str">
        <f aca="false">IF(B180="","",TEXT(YEAR(B180),"0"))</f>
        <v>2024</v>
      </c>
    </row>
    <row r="181" customFormat="false" ht="15" hidden="false" customHeight="false" outlineLevel="0" collapsed="false">
      <c r="A181" s="22" t="s">
        <v>346</v>
      </c>
      <c r="B181" s="23" t="n">
        <v>45412</v>
      </c>
      <c r="C181" s="24" t="n">
        <f aca="false">IF(B181="","",DATE(YEAR(B181),MONTH(B181),1))</f>
        <v>45383</v>
      </c>
      <c r="D181" s="22" t="s">
        <v>36</v>
      </c>
      <c r="E181" s="22" t="s">
        <v>37</v>
      </c>
      <c r="F181" s="22" t="s">
        <v>38</v>
      </c>
      <c r="G181" s="22" t="s">
        <v>139</v>
      </c>
      <c r="H181" s="22" t="s">
        <v>140</v>
      </c>
      <c r="I181" s="22" t="s">
        <v>141</v>
      </c>
      <c r="J181" s="22" t="s">
        <v>51</v>
      </c>
      <c r="K181" s="22" t="s">
        <v>52</v>
      </c>
      <c r="L181" s="25" t="n">
        <v>100</v>
      </c>
      <c r="M181" s="25" t="n">
        <v>885</v>
      </c>
      <c r="N181" s="26" t="n">
        <f aca="false">IF(L181="","",L181*M181)</f>
        <v>88500</v>
      </c>
      <c r="O181" s="25" t="n">
        <v>640</v>
      </c>
      <c r="P181" s="26" t="n">
        <f aca="false">IF(L181="","",N181-L181*O181)</f>
        <v>24500</v>
      </c>
      <c r="Q181" s="27" t="n">
        <v>21</v>
      </c>
      <c r="R181" s="27" t="n">
        <v>20</v>
      </c>
      <c r="S181" s="22" t="s">
        <v>44</v>
      </c>
      <c r="T181" s="22" t="str">
        <f aca="false">IF(R181="","",IF(R181&lt;=Q181,"Yes","No"))</f>
        <v>Yes</v>
      </c>
      <c r="U181" s="22" t="str">
        <f aca="false">IF(B181="","",TEXT(YEAR(B181),"0"))</f>
        <v>2024</v>
      </c>
    </row>
    <row r="182" customFormat="false" ht="15" hidden="false" customHeight="false" outlineLevel="0" collapsed="false">
      <c r="A182" s="22" t="s">
        <v>347</v>
      </c>
      <c r="B182" s="23" t="n">
        <v>45412</v>
      </c>
      <c r="C182" s="24" t="n">
        <f aca="false">IF(B182="","",DATE(YEAR(B182),MONTH(B182),1))</f>
        <v>45383</v>
      </c>
      <c r="D182" s="22" t="s">
        <v>96</v>
      </c>
      <c r="E182" s="22" t="s">
        <v>47</v>
      </c>
      <c r="F182" s="22" t="s">
        <v>97</v>
      </c>
      <c r="G182" s="22" t="s">
        <v>211</v>
      </c>
      <c r="H182" s="22" t="s">
        <v>212</v>
      </c>
      <c r="I182" s="22" t="s">
        <v>213</v>
      </c>
      <c r="J182" s="22" t="s">
        <v>51</v>
      </c>
      <c r="K182" s="22" t="s">
        <v>130</v>
      </c>
      <c r="L182" s="25" t="n">
        <v>100</v>
      </c>
      <c r="M182" s="25" t="n">
        <v>800</v>
      </c>
      <c r="N182" s="26" t="n">
        <f aca="false">IF(L182="","",L182*M182)</f>
        <v>80000</v>
      </c>
      <c r="O182" s="25" t="n">
        <v>570</v>
      </c>
      <c r="P182" s="26" t="n">
        <f aca="false">IF(L182="","",N182-L182*O182)</f>
        <v>23000</v>
      </c>
      <c r="Q182" s="27" t="n">
        <v>10</v>
      </c>
      <c r="R182" s="27" t="n">
        <v>6</v>
      </c>
      <c r="S182" s="22" t="s">
        <v>44</v>
      </c>
      <c r="T182" s="22" t="str">
        <f aca="false">IF(R182="","",IF(R182&lt;=Q182,"Yes","No"))</f>
        <v>Yes</v>
      </c>
      <c r="U182" s="22" t="str">
        <f aca="false">IF(B182="","",TEXT(YEAR(B182),"0"))</f>
        <v>2024</v>
      </c>
    </row>
    <row r="183" customFormat="false" ht="15" hidden="false" customHeight="false" outlineLevel="0" collapsed="false">
      <c r="A183" s="22" t="s">
        <v>348</v>
      </c>
      <c r="B183" s="23" t="n">
        <v>45423</v>
      </c>
      <c r="C183" s="24" t="n">
        <f aca="false">IF(B183="","",DATE(YEAR(B183),MONTH(B183),1))</f>
        <v>45413</v>
      </c>
      <c r="D183" s="22" t="s">
        <v>103</v>
      </c>
      <c r="E183" s="22" t="s">
        <v>47</v>
      </c>
      <c r="F183" s="22" t="s">
        <v>104</v>
      </c>
      <c r="G183" s="22" t="s">
        <v>220</v>
      </c>
      <c r="H183" s="22" t="s">
        <v>221</v>
      </c>
      <c r="I183" s="22" t="s">
        <v>222</v>
      </c>
      <c r="J183" s="22" t="s">
        <v>113</v>
      </c>
      <c r="K183" s="22" t="s">
        <v>76</v>
      </c>
      <c r="L183" s="25" t="n">
        <v>50</v>
      </c>
      <c r="M183" s="25" t="n">
        <v>1020</v>
      </c>
      <c r="N183" s="26" t="n">
        <f aca="false">IF(L183="","",L183*M183)</f>
        <v>51000</v>
      </c>
      <c r="O183" s="25" t="n">
        <v>696</v>
      </c>
      <c r="P183" s="26" t="n">
        <f aca="false">IF(L183="","",N183-L183*O183)</f>
        <v>16200</v>
      </c>
      <c r="Q183" s="27" t="n">
        <v>12</v>
      </c>
      <c r="R183" s="27" t="n">
        <v>12</v>
      </c>
      <c r="S183" s="22" t="s">
        <v>44</v>
      </c>
      <c r="T183" s="22" t="str">
        <f aca="false">IF(R183="","",IF(R183&lt;=Q183,"Yes","No"))</f>
        <v>Yes</v>
      </c>
      <c r="U183" s="22" t="str">
        <f aca="false">IF(B183="","",TEXT(YEAR(B183),"0"))</f>
        <v>2024</v>
      </c>
    </row>
    <row r="184" customFormat="false" ht="15" hidden="false" customHeight="false" outlineLevel="0" collapsed="false">
      <c r="A184" s="22" t="s">
        <v>349</v>
      </c>
      <c r="B184" s="23" t="n">
        <v>45428</v>
      </c>
      <c r="C184" s="24" t="n">
        <f aca="false">IF(B184="","",DATE(YEAR(B184),MONTH(B184),1))</f>
        <v>45413</v>
      </c>
      <c r="D184" s="22" t="s">
        <v>46</v>
      </c>
      <c r="E184" s="22" t="s">
        <v>47</v>
      </c>
      <c r="F184" s="22" t="s">
        <v>48</v>
      </c>
      <c r="G184" s="22" t="s">
        <v>73</v>
      </c>
      <c r="H184" s="22" t="s">
        <v>74</v>
      </c>
      <c r="I184" s="22" t="s">
        <v>75</v>
      </c>
      <c r="J184" s="22" t="s">
        <v>51</v>
      </c>
      <c r="K184" s="22" t="s">
        <v>145</v>
      </c>
      <c r="L184" s="25" t="n">
        <v>100</v>
      </c>
      <c r="M184" s="25" t="n">
        <v>895</v>
      </c>
      <c r="N184" s="26" t="n">
        <f aca="false">IF(L184="","",L184*M184)</f>
        <v>89500</v>
      </c>
      <c r="O184" s="25" t="n">
        <v>615</v>
      </c>
      <c r="P184" s="26" t="n">
        <f aca="false">IF(L184="","",N184-L184*O184)</f>
        <v>28000</v>
      </c>
      <c r="Q184" s="27" t="n">
        <v>15</v>
      </c>
      <c r="R184" s="27" t="n">
        <v>18</v>
      </c>
      <c r="S184" s="22" t="s">
        <v>44</v>
      </c>
      <c r="T184" s="22" t="str">
        <f aca="false">IF(R184="","",IF(R184&lt;=Q184,"Yes","No"))</f>
        <v>No</v>
      </c>
      <c r="U184" s="22" t="str">
        <f aca="false">IF(B184="","",TEXT(YEAR(B184),"0"))</f>
        <v>2024</v>
      </c>
    </row>
    <row r="185" customFormat="false" ht="15" hidden="false" customHeight="false" outlineLevel="0" collapsed="false">
      <c r="A185" s="22" t="s">
        <v>350</v>
      </c>
      <c r="B185" s="23" t="n">
        <v>45433</v>
      </c>
      <c r="C185" s="24" t="n">
        <f aca="false">IF(B185="","",DATE(YEAR(B185),MONTH(B185),1))</f>
        <v>45413</v>
      </c>
      <c r="D185" s="22" t="s">
        <v>36</v>
      </c>
      <c r="E185" s="22" t="s">
        <v>37</v>
      </c>
      <c r="F185" s="22" t="s">
        <v>38</v>
      </c>
      <c r="G185" s="22" t="s">
        <v>99</v>
      </c>
      <c r="H185" s="22" t="s">
        <v>100</v>
      </c>
      <c r="I185" s="22" t="s">
        <v>101</v>
      </c>
      <c r="J185" s="22" t="s">
        <v>80</v>
      </c>
      <c r="K185" s="22" t="s">
        <v>52</v>
      </c>
      <c r="L185" s="25" t="n">
        <v>50</v>
      </c>
      <c r="M185" s="25" t="n">
        <v>1395</v>
      </c>
      <c r="N185" s="26" t="n">
        <f aca="false">IF(L185="","",L185*M185)</f>
        <v>69750</v>
      </c>
      <c r="O185" s="25" t="n">
        <v>927</v>
      </c>
      <c r="P185" s="26" t="n">
        <f aca="false">IF(L185="","",N185-L185*O185)</f>
        <v>23400</v>
      </c>
      <c r="Q185" s="27" t="n">
        <v>30</v>
      </c>
      <c r="R185" s="27" t="n">
        <v>31</v>
      </c>
      <c r="S185" s="22" t="s">
        <v>44</v>
      </c>
      <c r="T185" s="22" t="str">
        <f aca="false">IF(R185="","",IF(R185&lt;=Q185,"Yes","No"))</f>
        <v>No</v>
      </c>
      <c r="U185" s="22" t="str">
        <f aca="false">IF(B185="","",TEXT(YEAR(B185),"0"))</f>
        <v>2024</v>
      </c>
    </row>
    <row r="186" customFormat="false" ht="15" hidden="false" customHeight="false" outlineLevel="0" collapsed="false">
      <c r="A186" s="22" t="s">
        <v>351</v>
      </c>
      <c r="B186" s="23" t="n">
        <v>45433</v>
      </c>
      <c r="C186" s="24" t="n">
        <f aca="false">IF(B186="","",DATE(YEAR(B186),MONTH(B186),1))</f>
        <v>45413</v>
      </c>
      <c r="D186" s="22" t="s">
        <v>54</v>
      </c>
      <c r="E186" s="22" t="s">
        <v>47</v>
      </c>
      <c r="F186" s="22" t="s">
        <v>55</v>
      </c>
      <c r="G186" s="22" t="s">
        <v>63</v>
      </c>
      <c r="H186" s="22" t="s">
        <v>64</v>
      </c>
      <c r="I186" s="22" t="s">
        <v>65</v>
      </c>
      <c r="J186" s="22" t="s">
        <v>66</v>
      </c>
      <c r="K186" s="22" t="s">
        <v>59</v>
      </c>
      <c r="L186" s="25" t="n">
        <v>200</v>
      </c>
      <c r="M186" s="25" t="n">
        <v>750</v>
      </c>
      <c r="N186" s="26" t="n">
        <f aca="false">IF(L186="","",L186*M186)</f>
        <v>150000</v>
      </c>
      <c r="O186" s="25" t="n">
        <v>563</v>
      </c>
      <c r="P186" s="26" t="n">
        <f aca="false">IF(L186="","",N186-L186*O186)</f>
        <v>37400</v>
      </c>
      <c r="Q186" s="27" t="n">
        <v>15</v>
      </c>
      <c r="R186" s="27" t="n">
        <v>10</v>
      </c>
      <c r="S186" s="22" t="s">
        <v>44</v>
      </c>
      <c r="T186" s="22" t="str">
        <f aca="false">IF(R186="","",IF(R186&lt;=Q186,"Yes","No"))</f>
        <v>Yes</v>
      </c>
      <c r="U186" s="22" t="str">
        <f aca="false">IF(B186="","",TEXT(YEAR(B186),"0"))</f>
        <v>2024</v>
      </c>
    </row>
    <row r="187" customFormat="false" ht="15" hidden="false" customHeight="false" outlineLevel="0" collapsed="false">
      <c r="A187" s="22" t="s">
        <v>352</v>
      </c>
      <c r="B187" s="23" t="n">
        <v>45439</v>
      </c>
      <c r="C187" s="24" t="n">
        <f aca="false">IF(B187="","",DATE(YEAR(B187),MONTH(B187),1))</f>
        <v>45413</v>
      </c>
      <c r="D187" s="22" t="s">
        <v>36</v>
      </c>
      <c r="E187" s="22" t="s">
        <v>37</v>
      </c>
      <c r="F187" s="22" t="s">
        <v>38</v>
      </c>
      <c r="G187" s="22" t="s">
        <v>297</v>
      </c>
      <c r="H187" s="22" t="s">
        <v>298</v>
      </c>
      <c r="I187" s="22" t="s">
        <v>41</v>
      </c>
      <c r="J187" s="22" t="s">
        <v>80</v>
      </c>
      <c r="K187" s="22" t="s">
        <v>52</v>
      </c>
      <c r="L187" s="25" t="n">
        <v>50</v>
      </c>
      <c r="M187" s="25" t="n">
        <v>1445</v>
      </c>
      <c r="N187" s="26" t="n">
        <f aca="false">IF(L187="","",L187*M187)</f>
        <v>72250</v>
      </c>
      <c r="O187" s="25" t="n">
        <v>958</v>
      </c>
      <c r="P187" s="26" t="n">
        <f aca="false">IF(L187="","",N187-L187*O187)</f>
        <v>24350</v>
      </c>
      <c r="Q187" s="27" t="n">
        <v>21</v>
      </c>
      <c r="R187" s="27" t="n">
        <v>20</v>
      </c>
      <c r="S187" s="22" t="s">
        <v>44</v>
      </c>
      <c r="T187" s="22" t="str">
        <f aca="false">IF(R187="","",IF(R187&lt;=Q187,"Yes","No"))</f>
        <v>Yes</v>
      </c>
      <c r="U187" s="22" t="str">
        <f aca="false">IF(B187="","",TEXT(YEAR(B187),"0"))</f>
        <v>2024</v>
      </c>
    </row>
    <row r="188" customFormat="false" ht="15" hidden="false" customHeight="false" outlineLevel="0" collapsed="false">
      <c r="A188" s="22" t="s">
        <v>353</v>
      </c>
      <c r="B188" s="23" t="n">
        <v>45440</v>
      </c>
      <c r="C188" s="24" t="n">
        <f aca="false">IF(B188="","",DATE(YEAR(B188),MONTH(B188),1))</f>
        <v>45413</v>
      </c>
      <c r="D188" s="22" t="s">
        <v>71</v>
      </c>
      <c r="E188" s="22" t="s">
        <v>37</v>
      </c>
      <c r="F188" s="22" t="s">
        <v>72</v>
      </c>
      <c r="G188" s="22" t="s">
        <v>134</v>
      </c>
      <c r="H188" s="22" t="s">
        <v>135</v>
      </c>
      <c r="I188" s="22" t="s">
        <v>136</v>
      </c>
      <c r="J188" s="22" t="s">
        <v>66</v>
      </c>
      <c r="K188" s="22" t="s">
        <v>76</v>
      </c>
      <c r="L188" s="25" t="n">
        <v>50</v>
      </c>
      <c r="M188" s="25" t="n">
        <v>730</v>
      </c>
      <c r="N188" s="26" t="n">
        <f aca="false">IF(L188="","",L188*M188)</f>
        <v>36500</v>
      </c>
      <c r="O188" s="25" t="n">
        <v>537</v>
      </c>
      <c r="P188" s="26" t="n">
        <f aca="false">IF(L188="","",N188-L188*O188)</f>
        <v>9650</v>
      </c>
      <c r="Q188" s="27" t="n">
        <v>21</v>
      </c>
      <c r="R188" s="27" t="n">
        <v>19</v>
      </c>
      <c r="S188" s="22" t="s">
        <v>44</v>
      </c>
      <c r="T188" s="22" t="str">
        <f aca="false">IF(R188="","",IF(R188&lt;=Q188,"Yes","No"))</f>
        <v>Yes</v>
      </c>
      <c r="U188" s="22" t="str">
        <f aca="false">IF(B188="","",TEXT(YEAR(B188),"0"))</f>
        <v>2024</v>
      </c>
    </row>
    <row r="189" customFormat="false" ht="15" hidden="false" customHeight="false" outlineLevel="0" collapsed="false">
      <c r="A189" s="22" t="s">
        <v>354</v>
      </c>
      <c r="B189" s="23" t="n">
        <v>45442</v>
      </c>
      <c r="C189" s="24" t="n">
        <f aca="false">IF(B189="","",DATE(YEAR(B189),MONTH(B189),1))</f>
        <v>45413</v>
      </c>
      <c r="D189" s="22" t="s">
        <v>36</v>
      </c>
      <c r="E189" s="22" t="s">
        <v>37</v>
      </c>
      <c r="F189" s="22" t="s">
        <v>38</v>
      </c>
      <c r="G189" s="22" t="s">
        <v>49</v>
      </c>
      <c r="H189" s="22" t="s">
        <v>50</v>
      </c>
      <c r="I189" s="22" t="s">
        <v>41</v>
      </c>
      <c r="J189" s="22" t="s">
        <v>51</v>
      </c>
      <c r="K189" s="22" t="s">
        <v>52</v>
      </c>
      <c r="L189" s="25" t="n">
        <v>200</v>
      </c>
      <c r="M189" s="25" t="n">
        <v>790</v>
      </c>
      <c r="N189" s="26" t="n">
        <f aca="false">IF(L189="","",L189*M189)</f>
        <v>158000</v>
      </c>
      <c r="O189" s="25" t="n">
        <v>590</v>
      </c>
      <c r="P189" s="26" t="n">
        <f aca="false">IF(L189="","",N189-L189*O189)</f>
        <v>40000</v>
      </c>
      <c r="Q189" s="27" t="n">
        <v>21</v>
      </c>
      <c r="R189" s="27" t="n">
        <v>19</v>
      </c>
      <c r="S189" s="22" t="s">
        <v>44</v>
      </c>
      <c r="T189" s="22" t="str">
        <f aca="false">IF(R189="","",IF(R189&lt;=Q189,"Yes","No"))</f>
        <v>Yes</v>
      </c>
      <c r="U189" s="22" t="str">
        <f aca="false">IF(B189="","",TEXT(YEAR(B189),"0"))</f>
        <v>2024</v>
      </c>
    </row>
    <row r="190" customFormat="false" ht="15" hidden="false" customHeight="false" outlineLevel="0" collapsed="false">
      <c r="A190" s="22" t="s">
        <v>355</v>
      </c>
      <c r="B190" s="23" t="n">
        <v>45442</v>
      </c>
      <c r="C190" s="24" t="n">
        <f aca="false">IF(B190="","",DATE(YEAR(B190),MONTH(B190),1))</f>
        <v>45413</v>
      </c>
      <c r="D190" s="22" t="s">
        <v>36</v>
      </c>
      <c r="E190" s="22" t="s">
        <v>37</v>
      </c>
      <c r="F190" s="22" t="s">
        <v>38</v>
      </c>
      <c r="G190" s="22" t="s">
        <v>181</v>
      </c>
      <c r="H190" s="22" t="s">
        <v>182</v>
      </c>
      <c r="I190" s="22" t="s">
        <v>183</v>
      </c>
      <c r="J190" s="22" t="s">
        <v>122</v>
      </c>
      <c r="K190" s="22" t="s">
        <v>52</v>
      </c>
      <c r="L190" s="25" t="n">
        <v>50</v>
      </c>
      <c r="M190" s="25" t="n">
        <v>1000</v>
      </c>
      <c r="N190" s="26" t="n">
        <f aca="false">IF(L190="","",L190*M190)</f>
        <v>50000</v>
      </c>
      <c r="O190" s="25" t="n">
        <v>736</v>
      </c>
      <c r="P190" s="26" t="n">
        <f aca="false">IF(L190="","",N190-L190*O190)</f>
        <v>13200</v>
      </c>
      <c r="Q190" s="27" t="n">
        <v>30</v>
      </c>
      <c r="R190" s="27" t="n">
        <v>26</v>
      </c>
      <c r="S190" s="22" t="s">
        <v>44</v>
      </c>
      <c r="T190" s="22" t="str">
        <f aca="false">IF(R190="","",IF(R190&lt;=Q190,"Yes","No"))</f>
        <v>Yes</v>
      </c>
      <c r="U190" s="22" t="str">
        <f aca="false">IF(B190="","",TEXT(YEAR(B190),"0"))</f>
        <v>2024</v>
      </c>
    </row>
    <row r="191" customFormat="false" ht="15" hidden="false" customHeight="false" outlineLevel="0" collapsed="false">
      <c r="A191" s="22" t="s">
        <v>356</v>
      </c>
      <c r="B191" s="23" t="n">
        <v>45443</v>
      </c>
      <c r="C191" s="24" t="n">
        <f aca="false">IF(B191="","",DATE(YEAR(B191),MONTH(B191),1))</f>
        <v>45413</v>
      </c>
      <c r="D191" s="22" t="s">
        <v>61</v>
      </c>
      <c r="E191" s="22" t="s">
        <v>37</v>
      </c>
      <c r="F191" s="22" t="s">
        <v>62</v>
      </c>
      <c r="G191" s="22" t="s">
        <v>167</v>
      </c>
      <c r="H191" s="22" t="s">
        <v>168</v>
      </c>
      <c r="I191" s="22" t="s">
        <v>41</v>
      </c>
      <c r="J191" s="22" t="s">
        <v>150</v>
      </c>
      <c r="K191" s="22" t="s">
        <v>76</v>
      </c>
      <c r="L191" s="25" t="n">
        <v>200</v>
      </c>
      <c r="M191" s="25" t="n">
        <v>1045</v>
      </c>
      <c r="N191" s="26" t="n">
        <f aca="false">IF(L191="","",L191*M191)</f>
        <v>209000</v>
      </c>
      <c r="O191" s="25" t="n">
        <v>746</v>
      </c>
      <c r="P191" s="26" t="n">
        <f aca="false">IF(L191="","",N191-L191*O191)</f>
        <v>59800</v>
      </c>
      <c r="Q191" s="27" t="n">
        <v>30</v>
      </c>
      <c r="R191" s="27" t="n">
        <v>28</v>
      </c>
      <c r="S191" s="22" t="s">
        <v>44</v>
      </c>
      <c r="T191" s="22" t="str">
        <f aca="false">IF(R191="","",IF(R191&lt;=Q191,"Yes","No"))</f>
        <v>Yes</v>
      </c>
      <c r="U191" s="22" t="str">
        <f aca="false">IF(B191="","",TEXT(YEAR(B191),"0"))</f>
        <v>2024</v>
      </c>
    </row>
    <row r="192" customFormat="false" ht="15" hidden="false" customHeight="false" outlineLevel="0" collapsed="false">
      <c r="A192" s="22" t="s">
        <v>357</v>
      </c>
      <c r="B192" s="23" t="n">
        <v>45444</v>
      </c>
      <c r="C192" s="24" t="n">
        <f aca="false">IF(B192="","",DATE(YEAR(B192),MONTH(B192),1))</f>
        <v>45444</v>
      </c>
      <c r="D192" s="22" t="s">
        <v>69</v>
      </c>
      <c r="E192" s="22" t="s">
        <v>37</v>
      </c>
      <c r="F192" s="22" t="s">
        <v>62</v>
      </c>
      <c r="G192" s="22" t="s">
        <v>63</v>
      </c>
      <c r="H192" s="22" t="s">
        <v>64</v>
      </c>
      <c r="I192" s="22" t="s">
        <v>65</v>
      </c>
      <c r="J192" s="22" t="s">
        <v>66</v>
      </c>
      <c r="K192" s="22" t="s">
        <v>76</v>
      </c>
      <c r="L192" s="25" t="n">
        <v>100</v>
      </c>
      <c r="M192" s="25" t="n">
        <v>740</v>
      </c>
      <c r="N192" s="26" t="n">
        <f aca="false">IF(L192="","",L192*M192)</f>
        <v>74000</v>
      </c>
      <c r="O192" s="25" t="n">
        <v>551</v>
      </c>
      <c r="P192" s="26" t="n">
        <f aca="false">IF(L192="","",N192-L192*O192)</f>
        <v>18900</v>
      </c>
      <c r="Q192" s="27" t="n">
        <v>30</v>
      </c>
      <c r="R192" s="27"/>
      <c r="S192" s="22" t="s">
        <v>358</v>
      </c>
      <c r="T192" s="22" t="str">
        <f aca="false">IF(R192="","",IF(R192&lt;=Q192,"Yes","No"))</f>
        <v/>
      </c>
      <c r="U192" s="22" t="str">
        <f aca="false">IF(B192="","",TEXT(YEAR(B192),"0"))</f>
        <v>2024</v>
      </c>
    </row>
    <row r="193" customFormat="false" ht="15" hidden="false" customHeight="false" outlineLevel="0" collapsed="false">
      <c r="A193" s="22" t="s">
        <v>359</v>
      </c>
      <c r="B193" s="23" t="n">
        <v>45448</v>
      </c>
      <c r="C193" s="24" t="n">
        <f aca="false">IF(B193="","",DATE(YEAR(B193),MONTH(B193),1))</f>
        <v>45444</v>
      </c>
      <c r="D193" s="22" t="s">
        <v>133</v>
      </c>
      <c r="E193" s="22" t="s">
        <v>47</v>
      </c>
      <c r="F193" s="22" t="s">
        <v>104</v>
      </c>
      <c r="G193" s="22" t="s">
        <v>82</v>
      </c>
      <c r="H193" s="22" t="s">
        <v>83</v>
      </c>
      <c r="I193" s="22" t="s">
        <v>41</v>
      </c>
      <c r="J193" s="22" t="s">
        <v>66</v>
      </c>
      <c r="K193" s="22" t="s">
        <v>145</v>
      </c>
      <c r="L193" s="25" t="n">
        <v>25</v>
      </c>
      <c r="M193" s="25" t="n">
        <v>695</v>
      </c>
      <c r="N193" s="26" t="n">
        <f aca="false">IF(L193="","",L193*M193)</f>
        <v>17375</v>
      </c>
      <c r="O193" s="25" t="n">
        <v>511</v>
      </c>
      <c r="P193" s="26" t="n">
        <f aca="false">IF(L193="","",N193-L193*O193)</f>
        <v>4600</v>
      </c>
      <c r="Q193" s="27" t="n">
        <v>10</v>
      </c>
      <c r="R193" s="27"/>
      <c r="S193" s="22" t="s">
        <v>358</v>
      </c>
      <c r="T193" s="22" t="str">
        <f aca="false">IF(R193="","",IF(R193&lt;=Q193,"Yes","No"))</f>
        <v/>
      </c>
      <c r="U193" s="22" t="str">
        <f aca="false">IF(B193="","",TEXT(YEAR(B193),"0"))</f>
        <v>2024</v>
      </c>
    </row>
    <row r="194" customFormat="false" ht="15" hidden="false" customHeight="false" outlineLevel="0" collapsed="false">
      <c r="A194" s="22" t="s">
        <v>360</v>
      </c>
      <c r="B194" s="23" t="n">
        <v>45451</v>
      </c>
      <c r="C194" s="24" t="n">
        <f aca="false">IF(B194="","",DATE(YEAR(B194),MONTH(B194),1))</f>
        <v>45444</v>
      </c>
      <c r="D194" s="22" t="s">
        <v>108</v>
      </c>
      <c r="E194" s="22" t="s">
        <v>37</v>
      </c>
      <c r="F194" s="22" t="s">
        <v>109</v>
      </c>
      <c r="G194" s="22" t="s">
        <v>99</v>
      </c>
      <c r="H194" s="22" t="s">
        <v>100</v>
      </c>
      <c r="I194" s="22" t="s">
        <v>101</v>
      </c>
      <c r="J194" s="22" t="s">
        <v>80</v>
      </c>
      <c r="K194" s="22" t="s">
        <v>67</v>
      </c>
      <c r="L194" s="25" t="n">
        <v>100</v>
      </c>
      <c r="M194" s="25" t="n">
        <v>1350</v>
      </c>
      <c r="N194" s="26" t="n">
        <f aca="false">IF(L194="","",L194*M194)</f>
        <v>135000</v>
      </c>
      <c r="O194" s="25" t="n">
        <v>900</v>
      </c>
      <c r="P194" s="26" t="n">
        <f aca="false">IF(L194="","",N194-L194*O194)</f>
        <v>45000</v>
      </c>
      <c r="Q194" s="27" t="n">
        <v>25</v>
      </c>
      <c r="R194" s="27"/>
      <c r="S194" s="22" t="s">
        <v>358</v>
      </c>
      <c r="T194" s="22" t="str">
        <f aca="false">IF(R194="","",IF(R194&lt;=Q194,"Yes","No"))</f>
        <v/>
      </c>
      <c r="U194" s="22" t="str">
        <f aca="false">IF(B194="","",TEXT(YEAR(B194),"0"))</f>
        <v>2024</v>
      </c>
    </row>
    <row r="195" customFormat="false" ht="15" hidden="false" customHeight="false" outlineLevel="0" collapsed="false">
      <c r="A195" s="22" t="s">
        <v>361</v>
      </c>
      <c r="B195" s="23" t="n">
        <v>45453</v>
      </c>
      <c r="C195" s="24" t="n">
        <f aca="false">IF(B195="","",DATE(YEAR(B195),MONTH(B195),1))</f>
        <v>45444</v>
      </c>
      <c r="D195" s="22" t="s">
        <v>46</v>
      </c>
      <c r="E195" s="22" t="s">
        <v>47</v>
      </c>
      <c r="F195" s="22" t="s">
        <v>48</v>
      </c>
      <c r="G195" s="22" t="s">
        <v>171</v>
      </c>
      <c r="H195" s="22" t="s">
        <v>172</v>
      </c>
      <c r="I195" s="22" t="s">
        <v>173</v>
      </c>
      <c r="J195" s="22" t="s">
        <v>113</v>
      </c>
      <c r="K195" s="22" t="s">
        <v>43</v>
      </c>
      <c r="L195" s="25" t="n">
        <v>100</v>
      </c>
      <c r="M195" s="25" t="n">
        <v>1010</v>
      </c>
      <c r="N195" s="26" t="n">
        <f aca="false">IF(L195="","",L195*M195)</f>
        <v>101000</v>
      </c>
      <c r="O195" s="25" t="n">
        <v>694</v>
      </c>
      <c r="P195" s="26" t="n">
        <f aca="false">IF(L195="","",N195-L195*O195)</f>
        <v>31600</v>
      </c>
      <c r="Q195" s="27" t="n">
        <v>10</v>
      </c>
      <c r="R195" s="27" t="n">
        <v>10</v>
      </c>
      <c r="S195" s="22" t="s">
        <v>44</v>
      </c>
      <c r="T195" s="22" t="str">
        <f aca="false">IF(R195="","",IF(R195&lt;=Q195,"Yes","No"))</f>
        <v>Yes</v>
      </c>
      <c r="U195" s="22" t="str">
        <f aca="false">IF(B195="","",TEXT(YEAR(B195),"0"))</f>
        <v>2024</v>
      </c>
    </row>
    <row r="196" customFormat="false" ht="15" hidden="false" customHeight="false" outlineLevel="0" collapsed="false">
      <c r="A196" s="22" t="s">
        <v>362</v>
      </c>
      <c r="B196" s="23" t="n">
        <v>45454</v>
      </c>
      <c r="C196" s="24" t="n">
        <f aca="false">IF(B196="","",DATE(YEAR(B196),MONTH(B196),1))</f>
        <v>45444</v>
      </c>
      <c r="D196" s="22" t="s">
        <v>61</v>
      </c>
      <c r="E196" s="22" t="s">
        <v>37</v>
      </c>
      <c r="F196" s="22" t="s">
        <v>62</v>
      </c>
      <c r="G196" s="22" t="s">
        <v>82</v>
      </c>
      <c r="H196" s="22" t="s">
        <v>83</v>
      </c>
      <c r="I196" s="22" t="s">
        <v>41</v>
      </c>
      <c r="J196" s="22" t="s">
        <v>66</v>
      </c>
      <c r="K196" s="22" t="s">
        <v>145</v>
      </c>
      <c r="L196" s="25" t="n">
        <v>200</v>
      </c>
      <c r="M196" s="25" t="n">
        <v>625</v>
      </c>
      <c r="N196" s="26" t="n">
        <f aca="false">IF(L196="","",L196*M196)</f>
        <v>125000</v>
      </c>
      <c r="O196" s="25" t="n">
        <v>494</v>
      </c>
      <c r="P196" s="26" t="n">
        <f aca="false">IF(L196="","",N196-L196*O196)</f>
        <v>26200</v>
      </c>
      <c r="Q196" s="27" t="n">
        <v>21</v>
      </c>
      <c r="R196" s="27" t="n">
        <v>14</v>
      </c>
      <c r="S196" s="22" t="s">
        <v>44</v>
      </c>
      <c r="T196" s="22" t="str">
        <f aca="false">IF(R196="","",IF(R196&lt;=Q196,"Yes","No"))</f>
        <v>Yes</v>
      </c>
      <c r="U196" s="22" t="str">
        <f aca="false">IF(B196="","",TEXT(YEAR(B196),"0"))</f>
        <v>2024</v>
      </c>
    </row>
    <row r="197" customFormat="false" ht="15" hidden="false" customHeight="false" outlineLevel="0" collapsed="false">
      <c r="A197" s="22" t="s">
        <v>363</v>
      </c>
      <c r="B197" s="23" t="n">
        <v>45464</v>
      </c>
      <c r="C197" s="24" t="n">
        <f aca="false">IF(B197="","",DATE(YEAR(B197),MONTH(B197),1))</f>
        <v>45444</v>
      </c>
      <c r="D197" s="22" t="s">
        <v>103</v>
      </c>
      <c r="E197" s="22" t="s">
        <v>47</v>
      </c>
      <c r="F197" s="22" t="s">
        <v>104</v>
      </c>
      <c r="G197" s="22" t="s">
        <v>243</v>
      </c>
      <c r="H197" s="22" t="s">
        <v>244</v>
      </c>
      <c r="I197" s="22" t="s">
        <v>245</v>
      </c>
      <c r="J197" s="22" t="s">
        <v>113</v>
      </c>
      <c r="K197" s="22" t="s">
        <v>52</v>
      </c>
      <c r="L197" s="25" t="n">
        <v>25</v>
      </c>
      <c r="M197" s="25" t="n">
        <v>1060</v>
      </c>
      <c r="N197" s="26" t="n">
        <f aca="false">IF(L197="","",L197*M197)</f>
        <v>26500</v>
      </c>
      <c r="O197" s="25" t="n">
        <v>717</v>
      </c>
      <c r="P197" s="26" t="n">
        <f aca="false">IF(L197="","",N197-L197*O197)</f>
        <v>8575</v>
      </c>
      <c r="Q197" s="27" t="n">
        <v>12</v>
      </c>
      <c r="R197" s="27"/>
      <c r="S197" s="22" t="s">
        <v>364</v>
      </c>
      <c r="T197" s="22" t="str">
        <f aca="false">IF(R197="","",IF(R197&lt;=Q197,"Yes","No"))</f>
        <v/>
      </c>
      <c r="U197" s="22" t="str">
        <f aca="false">IF(B197="","",TEXT(YEAR(B197),"0"))</f>
        <v>2024</v>
      </c>
    </row>
    <row r="198" customFormat="false" ht="15" hidden="false" customHeight="false" outlineLevel="0" collapsed="false">
      <c r="A198" s="22" t="s">
        <v>365</v>
      </c>
      <c r="B198" s="23" t="n">
        <v>45467</v>
      </c>
      <c r="C198" s="24" t="n">
        <f aca="false">IF(B198="","",DATE(YEAR(B198),MONTH(B198),1))</f>
        <v>45444</v>
      </c>
      <c r="D198" s="22" t="s">
        <v>133</v>
      </c>
      <c r="E198" s="22" t="s">
        <v>47</v>
      </c>
      <c r="F198" s="22" t="s">
        <v>104</v>
      </c>
      <c r="G198" s="22" t="s">
        <v>297</v>
      </c>
      <c r="H198" s="22" t="s">
        <v>298</v>
      </c>
      <c r="I198" s="22" t="s">
        <v>41</v>
      </c>
      <c r="J198" s="22" t="s">
        <v>80</v>
      </c>
      <c r="K198" s="22" t="s">
        <v>76</v>
      </c>
      <c r="L198" s="25" t="n">
        <v>25</v>
      </c>
      <c r="M198" s="25" t="n">
        <v>1500</v>
      </c>
      <c r="N198" s="26" t="n">
        <f aca="false">IF(L198="","",L198*M198)</f>
        <v>37500</v>
      </c>
      <c r="O198" s="25" t="n">
        <v>941</v>
      </c>
      <c r="P198" s="26" t="n">
        <f aca="false">IF(L198="","",N198-L198*O198)</f>
        <v>13975</v>
      </c>
      <c r="Q198" s="27" t="n">
        <v>10</v>
      </c>
      <c r="R198" s="27"/>
      <c r="S198" s="22" t="s">
        <v>364</v>
      </c>
      <c r="T198" s="22" t="str">
        <f aca="false">IF(R198="","",IF(R198&lt;=Q198,"Yes","No"))</f>
        <v/>
      </c>
      <c r="U198" s="22" t="str">
        <f aca="false">IF(B198="","",TEXT(YEAR(B198),"0"))</f>
        <v>2024</v>
      </c>
    </row>
    <row r="199" customFormat="false" ht="15" hidden="false" customHeight="false" outlineLevel="0" collapsed="false">
      <c r="A199" s="22" t="s">
        <v>366</v>
      </c>
      <c r="B199" s="23" t="n">
        <v>45468</v>
      </c>
      <c r="C199" s="24" t="n">
        <f aca="false">IF(B199="","",DATE(YEAR(B199),MONTH(B199),1))</f>
        <v>45444</v>
      </c>
      <c r="D199" s="22" t="s">
        <v>54</v>
      </c>
      <c r="E199" s="22" t="s">
        <v>47</v>
      </c>
      <c r="F199" s="22" t="s">
        <v>55</v>
      </c>
      <c r="G199" s="22" t="s">
        <v>85</v>
      </c>
      <c r="H199" s="22" t="s">
        <v>86</v>
      </c>
      <c r="I199" s="22" t="s">
        <v>87</v>
      </c>
      <c r="J199" s="22" t="s">
        <v>51</v>
      </c>
      <c r="K199" s="22" t="s">
        <v>59</v>
      </c>
      <c r="L199" s="25" t="n">
        <v>25</v>
      </c>
      <c r="M199" s="25" t="n">
        <v>895</v>
      </c>
      <c r="N199" s="26" t="n">
        <f aca="false">IF(L199="","",L199*M199)</f>
        <v>22375</v>
      </c>
      <c r="O199" s="25" t="n">
        <v>618</v>
      </c>
      <c r="P199" s="26" t="n">
        <f aca="false">IF(L199="","",N199-L199*O199)</f>
        <v>6925</v>
      </c>
      <c r="Q199" s="27" t="n">
        <v>10</v>
      </c>
      <c r="R199" s="27"/>
      <c r="S199" s="22" t="s">
        <v>358</v>
      </c>
      <c r="T199" s="22" t="str">
        <f aca="false">IF(R199="","",IF(R199&lt;=Q199,"Yes","No"))</f>
        <v/>
      </c>
      <c r="U199" s="22" t="str">
        <f aca="false">IF(B199="","",TEXT(YEAR(B199),"0"))</f>
        <v>2024</v>
      </c>
    </row>
    <row r="200" customFormat="false" ht="15" hidden="false" customHeight="false" outlineLevel="0" collapsed="false">
      <c r="A200" s="22" t="s">
        <v>367</v>
      </c>
      <c r="B200" s="23" t="n">
        <v>45470</v>
      </c>
      <c r="C200" s="24" t="n">
        <f aca="false">IF(B200="","",DATE(YEAR(B200),MONTH(B200),1))</f>
        <v>45444</v>
      </c>
      <c r="D200" s="22" t="s">
        <v>103</v>
      </c>
      <c r="E200" s="22" t="s">
        <v>47</v>
      </c>
      <c r="F200" s="22" t="s">
        <v>104</v>
      </c>
      <c r="G200" s="22" t="s">
        <v>282</v>
      </c>
      <c r="H200" s="22" t="s">
        <v>283</v>
      </c>
      <c r="I200" s="22" t="s">
        <v>284</v>
      </c>
      <c r="J200" s="22" t="s">
        <v>234</v>
      </c>
      <c r="K200" s="22" t="s">
        <v>43</v>
      </c>
      <c r="L200" s="25" t="n">
        <v>50</v>
      </c>
      <c r="M200" s="25" t="n">
        <v>1295</v>
      </c>
      <c r="N200" s="26" t="n">
        <f aca="false">IF(L200="","",L200*M200)</f>
        <v>64750</v>
      </c>
      <c r="O200" s="25" t="n">
        <v>879</v>
      </c>
      <c r="P200" s="26" t="n">
        <f aca="false">IF(L200="","",N200-L200*O200)</f>
        <v>20800</v>
      </c>
      <c r="Q200" s="27" t="n">
        <v>15</v>
      </c>
      <c r="R200" s="27"/>
      <c r="S200" s="22" t="s">
        <v>364</v>
      </c>
      <c r="T200" s="22" t="str">
        <f aca="false">IF(R200="","",IF(R200&lt;=Q200,"Yes","No"))</f>
        <v/>
      </c>
      <c r="U200" s="22" t="str">
        <f aca="false">IF(B200="","",TEXT(YEAR(B200),"0"))</f>
        <v>2024</v>
      </c>
    </row>
    <row r="201" customFormat="false" ht="15" hidden="false" customHeight="false" outlineLevel="0" collapsed="false">
      <c r="A201" s="22" t="s">
        <v>368</v>
      </c>
      <c r="B201" s="23" t="n">
        <v>45472</v>
      </c>
      <c r="C201" s="24" t="n">
        <f aca="false">IF(B201="","",DATE(YEAR(B201),MONTH(B201),1))</f>
        <v>45444</v>
      </c>
      <c r="D201" s="22" t="s">
        <v>46</v>
      </c>
      <c r="E201" s="22" t="s">
        <v>47</v>
      </c>
      <c r="F201" s="22" t="s">
        <v>48</v>
      </c>
      <c r="G201" s="22" t="s">
        <v>73</v>
      </c>
      <c r="H201" s="22" t="s">
        <v>74</v>
      </c>
      <c r="I201" s="22" t="s">
        <v>75</v>
      </c>
      <c r="J201" s="22" t="s">
        <v>51</v>
      </c>
      <c r="K201" s="22" t="s">
        <v>67</v>
      </c>
      <c r="L201" s="25" t="n">
        <v>25</v>
      </c>
      <c r="M201" s="25" t="n">
        <v>910</v>
      </c>
      <c r="N201" s="26" t="n">
        <f aca="false">IF(L201="","",L201*M201)</f>
        <v>22750</v>
      </c>
      <c r="O201" s="25" t="n">
        <v>604</v>
      </c>
      <c r="P201" s="26" t="n">
        <f aca="false">IF(L201="","",N201-L201*O201)</f>
        <v>7650</v>
      </c>
      <c r="Q201" s="27" t="n">
        <v>10</v>
      </c>
      <c r="R201" s="27" t="n">
        <v>11</v>
      </c>
      <c r="S201" s="22" t="s">
        <v>44</v>
      </c>
      <c r="T201" s="22" t="str">
        <f aca="false">IF(R201="","",IF(R201&lt;=Q201,"Yes","No"))</f>
        <v>No</v>
      </c>
      <c r="U201" s="22" t="str">
        <f aca="false">IF(B201="","",TEXT(YEAR(B201),"0"))</f>
        <v>2024</v>
      </c>
    </row>
    <row r="202" customFormat="false" ht="15" hidden="false" customHeight="false" outlineLevel="0" collapsed="false">
      <c r="B202" s="28"/>
      <c r="C202" s="24" t="str">
        <f aca="false">IF(B202="","",DATE(YEAR(B202),MONTH(B202),1))</f>
        <v/>
      </c>
      <c r="N202" s="26" t="str">
        <f aca="false">IF(L202="","",L202*M202)</f>
        <v/>
      </c>
      <c r="P202" s="26" t="str">
        <f aca="false">IF(L202="","",N202-L202*O202)</f>
        <v/>
      </c>
      <c r="T202" s="22" t="str">
        <f aca="false">IF(R202="","",IF(R202&lt;=Q202,"Yes","No"))</f>
        <v/>
      </c>
      <c r="U202" s="22" t="str">
        <f aca="false">IF(B202="","",TEXT(YEAR(B202),"0"))</f>
        <v/>
      </c>
    </row>
    <row r="203" customFormat="false" ht="15" hidden="false" customHeight="false" outlineLevel="0" collapsed="false">
      <c r="B203" s="28"/>
      <c r="C203" s="24" t="str">
        <f aca="false">IF(B203="","",DATE(YEAR(B203),MONTH(B203),1))</f>
        <v/>
      </c>
      <c r="N203" s="26" t="str">
        <f aca="false">IF(L203="","",L203*M203)</f>
        <v/>
      </c>
      <c r="P203" s="26" t="str">
        <f aca="false">IF(L203="","",N203-L203*O203)</f>
        <v/>
      </c>
      <c r="T203" s="22" t="str">
        <f aca="false">IF(R203="","",IF(R203&lt;=Q203,"Yes","No"))</f>
        <v/>
      </c>
      <c r="U203" s="22" t="str">
        <f aca="false">IF(B203="","",TEXT(YEAR(B203),"0"))</f>
        <v/>
      </c>
    </row>
    <row r="204" customFormat="false" ht="15" hidden="false" customHeight="false" outlineLevel="0" collapsed="false">
      <c r="B204" s="28"/>
      <c r="C204" s="24" t="str">
        <f aca="false">IF(B204="","",DATE(YEAR(B204),MONTH(B204),1))</f>
        <v/>
      </c>
      <c r="N204" s="26" t="str">
        <f aca="false">IF(L204="","",L204*M204)</f>
        <v/>
      </c>
      <c r="P204" s="26" t="str">
        <f aca="false">IF(L204="","",N204-L204*O204)</f>
        <v/>
      </c>
      <c r="T204" s="22" t="str">
        <f aca="false">IF(R204="","",IF(R204&lt;=Q204,"Yes","No"))</f>
        <v/>
      </c>
      <c r="U204" s="22" t="str">
        <f aca="false">IF(B204="","",TEXT(YEAR(B204),"0"))</f>
        <v/>
      </c>
    </row>
    <row r="205" customFormat="false" ht="15" hidden="false" customHeight="false" outlineLevel="0" collapsed="false">
      <c r="B205" s="28"/>
      <c r="C205" s="24" t="str">
        <f aca="false">IF(B205="","",DATE(YEAR(B205),MONTH(B205),1))</f>
        <v/>
      </c>
      <c r="N205" s="26" t="str">
        <f aca="false">IF(L205="","",L205*M205)</f>
        <v/>
      </c>
      <c r="P205" s="26" t="str">
        <f aca="false">IF(L205="","",N205-L205*O205)</f>
        <v/>
      </c>
      <c r="T205" s="22" t="str">
        <f aca="false">IF(R205="","",IF(R205&lt;=Q205,"Yes","No"))</f>
        <v/>
      </c>
      <c r="U205" s="22" t="str">
        <f aca="false">IF(B205="","",TEXT(YEAR(B205),"0"))</f>
        <v/>
      </c>
    </row>
    <row r="206" customFormat="false" ht="15" hidden="false" customHeight="false" outlineLevel="0" collapsed="false">
      <c r="B206" s="28"/>
      <c r="C206" s="24" t="str">
        <f aca="false">IF(B206="","",DATE(YEAR(B206),MONTH(B206),1))</f>
        <v/>
      </c>
      <c r="N206" s="26" t="str">
        <f aca="false">IF(L206="","",L206*M206)</f>
        <v/>
      </c>
      <c r="P206" s="26" t="str">
        <f aca="false">IF(L206="","",N206-L206*O206)</f>
        <v/>
      </c>
      <c r="T206" s="22" t="str">
        <f aca="false">IF(R206="","",IF(R206&lt;=Q206,"Yes","No"))</f>
        <v/>
      </c>
      <c r="U206" s="22" t="str">
        <f aca="false">IF(B206="","",TEXT(YEAR(B206),"0"))</f>
        <v/>
      </c>
    </row>
    <row r="207" customFormat="false" ht="15" hidden="false" customHeight="false" outlineLevel="0" collapsed="false">
      <c r="B207" s="28"/>
      <c r="C207" s="24" t="str">
        <f aca="false">IF(B207="","",DATE(YEAR(B207),MONTH(B207),1))</f>
        <v/>
      </c>
      <c r="N207" s="26" t="str">
        <f aca="false">IF(L207="","",L207*M207)</f>
        <v/>
      </c>
      <c r="P207" s="26" t="str">
        <f aca="false">IF(L207="","",N207-L207*O207)</f>
        <v/>
      </c>
      <c r="T207" s="22" t="str">
        <f aca="false">IF(R207="","",IF(R207&lt;=Q207,"Yes","No"))</f>
        <v/>
      </c>
      <c r="U207" s="22" t="str">
        <f aca="false">IF(B207="","",TEXT(YEAR(B207),"0"))</f>
        <v/>
      </c>
    </row>
    <row r="208" customFormat="false" ht="15" hidden="false" customHeight="false" outlineLevel="0" collapsed="false">
      <c r="B208" s="28"/>
      <c r="C208" s="24" t="str">
        <f aca="false">IF(B208="","",DATE(YEAR(B208),MONTH(B208),1))</f>
        <v/>
      </c>
      <c r="N208" s="26" t="str">
        <f aca="false">IF(L208="","",L208*M208)</f>
        <v/>
      </c>
      <c r="P208" s="26" t="str">
        <f aca="false">IF(L208="","",N208-L208*O208)</f>
        <v/>
      </c>
      <c r="T208" s="22" t="str">
        <f aca="false">IF(R208="","",IF(R208&lt;=Q208,"Yes","No"))</f>
        <v/>
      </c>
      <c r="U208" s="22" t="str">
        <f aca="false">IF(B208="","",TEXT(YEAR(B208),"0"))</f>
        <v/>
      </c>
    </row>
    <row r="209" customFormat="false" ht="15" hidden="false" customHeight="false" outlineLevel="0" collapsed="false">
      <c r="B209" s="28"/>
      <c r="C209" s="24" t="str">
        <f aca="false">IF(B209="","",DATE(YEAR(B209),MONTH(B209),1))</f>
        <v/>
      </c>
      <c r="N209" s="26" t="str">
        <f aca="false">IF(L209="","",L209*M209)</f>
        <v/>
      </c>
      <c r="P209" s="26" t="str">
        <f aca="false">IF(L209="","",N209-L209*O209)</f>
        <v/>
      </c>
      <c r="T209" s="22" t="str">
        <f aca="false">IF(R209="","",IF(R209&lt;=Q209,"Yes","No"))</f>
        <v/>
      </c>
      <c r="U209" s="22" t="str">
        <f aca="false">IF(B209="","",TEXT(YEAR(B209),"0"))</f>
        <v/>
      </c>
    </row>
    <row r="210" customFormat="false" ht="15" hidden="false" customHeight="false" outlineLevel="0" collapsed="false">
      <c r="B210" s="28"/>
      <c r="C210" s="24" t="str">
        <f aca="false">IF(B210="","",DATE(YEAR(B210),MONTH(B210),1))</f>
        <v/>
      </c>
      <c r="N210" s="26" t="str">
        <f aca="false">IF(L210="","",L210*M210)</f>
        <v/>
      </c>
      <c r="P210" s="26" t="str">
        <f aca="false">IF(L210="","",N210-L210*O210)</f>
        <v/>
      </c>
      <c r="T210" s="22" t="str">
        <f aca="false">IF(R210="","",IF(R210&lt;=Q210,"Yes","No"))</f>
        <v/>
      </c>
      <c r="U210" s="22" t="str">
        <f aca="false">IF(B210="","",TEXT(YEAR(B210),"0"))</f>
        <v/>
      </c>
    </row>
    <row r="211" customFormat="false" ht="15" hidden="false" customHeight="false" outlineLevel="0" collapsed="false">
      <c r="B211" s="28"/>
      <c r="C211" s="24" t="str">
        <f aca="false">IF(B211="","",DATE(YEAR(B211),MONTH(B211),1))</f>
        <v/>
      </c>
      <c r="N211" s="26" t="str">
        <f aca="false">IF(L211="","",L211*M211)</f>
        <v/>
      </c>
      <c r="P211" s="26" t="str">
        <f aca="false">IF(L211="","",N211-L211*O211)</f>
        <v/>
      </c>
      <c r="T211" s="22" t="str">
        <f aca="false">IF(R211="","",IF(R211&lt;=Q211,"Yes","No"))</f>
        <v/>
      </c>
      <c r="U211" s="22" t="str">
        <f aca="false">IF(B211="","",TEXT(YEAR(B211),"0"))</f>
        <v/>
      </c>
    </row>
    <row r="212" customFormat="false" ht="15" hidden="false" customHeight="false" outlineLevel="0" collapsed="false">
      <c r="B212" s="28"/>
      <c r="C212" s="24" t="str">
        <f aca="false">IF(B212="","",DATE(YEAR(B212),MONTH(B212),1))</f>
        <v/>
      </c>
      <c r="N212" s="26" t="str">
        <f aca="false">IF(L212="","",L212*M212)</f>
        <v/>
      </c>
      <c r="P212" s="26" t="str">
        <f aca="false">IF(L212="","",N212-L212*O212)</f>
        <v/>
      </c>
      <c r="T212" s="22" t="str">
        <f aca="false">IF(R212="","",IF(R212&lt;=Q212,"Yes","No"))</f>
        <v/>
      </c>
      <c r="U212" s="22" t="str">
        <f aca="false">IF(B212="","",TEXT(YEAR(B212),"0"))</f>
        <v/>
      </c>
    </row>
    <row r="213" customFormat="false" ht="15" hidden="false" customHeight="false" outlineLevel="0" collapsed="false">
      <c r="B213" s="28"/>
      <c r="C213" s="24" t="str">
        <f aca="false">IF(B213="","",DATE(YEAR(B213),MONTH(B213),1))</f>
        <v/>
      </c>
      <c r="N213" s="26" t="str">
        <f aca="false">IF(L213="","",L213*M213)</f>
        <v/>
      </c>
      <c r="P213" s="26" t="str">
        <f aca="false">IF(L213="","",N213-L213*O213)</f>
        <v/>
      </c>
      <c r="T213" s="22" t="str">
        <f aca="false">IF(R213="","",IF(R213&lt;=Q213,"Yes","No"))</f>
        <v/>
      </c>
      <c r="U213" s="22" t="str">
        <f aca="false">IF(B213="","",TEXT(YEAR(B213),"0"))</f>
        <v/>
      </c>
    </row>
    <row r="214" customFormat="false" ht="15" hidden="false" customHeight="false" outlineLevel="0" collapsed="false">
      <c r="B214" s="28"/>
      <c r="C214" s="24" t="str">
        <f aca="false">IF(B214="","",DATE(YEAR(B214),MONTH(B214),1))</f>
        <v/>
      </c>
      <c r="N214" s="26" t="str">
        <f aca="false">IF(L214="","",L214*M214)</f>
        <v/>
      </c>
      <c r="P214" s="26" t="str">
        <f aca="false">IF(L214="","",N214-L214*O214)</f>
        <v/>
      </c>
      <c r="T214" s="22" t="str">
        <f aca="false">IF(R214="","",IF(R214&lt;=Q214,"Yes","No"))</f>
        <v/>
      </c>
      <c r="U214" s="22" t="str">
        <f aca="false">IF(B214="","",TEXT(YEAR(B214),"0"))</f>
        <v/>
      </c>
    </row>
    <row r="215" customFormat="false" ht="15" hidden="false" customHeight="false" outlineLevel="0" collapsed="false">
      <c r="B215" s="28"/>
      <c r="C215" s="24" t="str">
        <f aca="false">IF(B215="","",DATE(YEAR(B215),MONTH(B215),1))</f>
        <v/>
      </c>
      <c r="N215" s="26" t="str">
        <f aca="false">IF(L215="","",L215*M215)</f>
        <v/>
      </c>
      <c r="P215" s="26" t="str">
        <f aca="false">IF(L215="","",N215-L215*O215)</f>
        <v/>
      </c>
      <c r="T215" s="22" t="str">
        <f aca="false">IF(R215="","",IF(R215&lt;=Q215,"Yes","No"))</f>
        <v/>
      </c>
      <c r="U215" s="22" t="str">
        <f aca="false">IF(B215="","",TEXT(YEAR(B215),"0"))</f>
        <v/>
      </c>
    </row>
    <row r="216" customFormat="false" ht="15" hidden="false" customHeight="false" outlineLevel="0" collapsed="false">
      <c r="B216" s="28"/>
      <c r="C216" s="24" t="str">
        <f aca="false">IF(B216="","",DATE(YEAR(B216),MONTH(B216),1))</f>
        <v/>
      </c>
      <c r="N216" s="26" t="str">
        <f aca="false">IF(L216="","",L216*M216)</f>
        <v/>
      </c>
      <c r="P216" s="26" t="str">
        <f aca="false">IF(L216="","",N216-L216*O216)</f>
        <v/>
      </c>
      <c r="T216" s="22" t="str">
        <f aca="false">IF(R216="","",IF(R216&lt;=Q216,"Yes","No"))</f>
        <v/>
      </c>
      <c r="U216" s="22" t="str">
        <f aca="false">IF(B216="","",TEXT(YEAR(B216),"0"))</f>
        <v/>
      </c>
    </row>
    <row r="217" customFormat="false" ht="15" hidden="false" customHeight="false" outlineLevel="0" collapsed="false">
      <c r="B217" s="28"/>
      <c r="C217" s="24" t="str">
        <f aca="false">IF(B217="","",DATE(YEAR(B217),MONTH(B217),1))</f>
        <v/>
      </c>
      <c r="N217" s="26" t="str">
        <f aca="false">IF(L217="","",L217*M217)</f>
        <v/>
      </c>
      <c r="P217" s="26" t="str">
        <f aca="false">IF(L217="","",N217-L217*O217)</f>
        <v/>
      </c>
      <c r="T217" s="22" t="str">
        <f aca="false">IF(R217="","",IF(R217&lt;=Q217,"Yes","No"))</f>
        <v/>
      </c>
      <c r="U217" s="22" t="str">
        <f aca="false">IF(B217="","",TEXT(YEAR(B217),"0"))</f>
        <v/>
      </c>
    </row>
    <row r="218" customFormat="false" ht="15" hidden="false" customHeight="false" outlineLevel="0" collapsed="false">
      <c r="B218" s="28"/>
      <c r="C218" s="24" t="str">
        <f aca="false">IF(B218="","",DATE(YEAR(B218),MONTH(B218),1))</f>
        <v/>
      </c>
      <c r="N218" s="26" t="str">
        <f aca="false">IF(L218="","",L218*M218)</f>
        <v/>
      </c>
      <c r="P218" s="26" t="str">
        <f aca="false">IF(L218="","",N218-L218*O218)</f>
        <v/>
      </c>
      <c r="T218" s="22" t="str">
        <f aca="false">IF(R218="","",IF(R218&lt;=Q218,"Yes","No"))</f>
        <v/>
      </c>
      <c r="U218" s="22" t="str">
        <f aca="false">IF(B218="","",TEXT(YEAR(B218),"0"))</f>
        <v/>
      </c>
    </row>
    <row r="219" customFormat="false" ht="15" hidden="false" customHeight="false" outlineLevel="0" collapsed="false">
      <c r="B219" s="28"/>
      <c r="C219" s="24" t="str">
        <f aca="false">IF(B219="","",DATE(YEAR(B219),MONTH(B219),1))</f>
        <v/>
      </c>
      <c r="N219" s="26" t="str">
        <f aca="false">IF(L219="","",L219*M219)</f>
        <v/>
      </c>
      <c r="P219" s="26" t="str">
        <f aca="false">IF(L219="","",N219-L219*O219)</f>
        <v/>
      </c>
      <c r="T219" s="22" t="str">
        <f aca="false">IF(R219="","",IF(R219&lt;=Q219,"Yes","No"))</f>
        <v/>
      </c>
      <c r="U219" s="22" t="str">
        <f aca="false">IF(B219="","",TEXT(YEAR(B219),"0"))</f>
        <v/>
      </c>
    </row>
    <row r="220" customFormat="false" ht="15" hidden="false" customHeight="false" outlineLevel="0" collapsed="false">
      <c r="B220" s="28"/>
      <c r="C220" s="24" t="str">
        <f aca="false">IF(B220="","",DATE(YEAR(B220),MONTH(B220),1))</f>
        <v/>
      </c>
      <c r="N220" s="26" t="str">
        <f aca="false">IF(L220="","",L220*M220)</f>
        <v/>
      </c>
      <c r="P220" s="26" t="str">
        <f aca="false">IF(L220="","",N220-L220*O220)</f>
        <v/>
      </c>
      <c r="T220" s="22" t="str">
        <f aca="false">IF(R220="","",IF(R220&lt;=Q220,"Yes","No"))</f>
        <v/>
      </c>
      <c r="U220" s="22" t="str">
        <f aca="false">IF(B220="","",TEXT(YEAR(B220),"0"))</f>
        <v/>
      </c>
    </row>
    <row r="221" customFormat="false" ht="15" hidden="false" customHeight="false" outlineLevel="0" collapsed="false">
      <c r="B221" s="28"/>
      <c r="C221" s="24" t="str">
        <f aca="false">IF(B221="","",DATE(YEAR(B221),MONTH(B221),1))</f>
        <v/>
      </c>
      <c r="N221" s="26" t="str">
        <f aca="false">IF(L221="","",L221*M221)</f>
        <v/>
      </c>
      <c r="P221" s="26" t="str">
        <f aca="false">IF(L221="","",N221-L221*O221)</f>
        <v/>
      </c>
      <c r="T221" s="22" t="str">
        <f aca="false">IF(R221="","",IF(R221&lt;=Q221,"Yes","No"))</f>
        <v/>
      </c>
      <c r="U221" s="22" t="str">
        <f aca="false">IF(B221="","",TEXT(YEAR(B221),"0"))</f>
        <v/>
      </c>
    </row>
    <row r="222" customFormat="false" ht="15" hidden="false" customHeight="false" outlineLevel="0" collapsed="false">
      <c r="B222" s="28"/>
      <c r="C222" s="24" t="str">
        <f aca="false">IF(B222="","",DATE(YEAR(B222),MONTH(B222),1))</f>
        <v/>
      </c>
      <c r="N222" s="26" t="str">
        <f aca="false">IF(L222="","",L222*M222)</f>
        <v/>
      </c>
      <c r="P222" s="26" t="str">
        <f aca="false">IF(L222="","",N222-L222*O222)</f>
        <v/>
      </c>
      <c r="T222" s="22" t="str">
        <f aca="false">IF(R222="","",IF(R222&lt;=Q222,"Yes","No"))</f>
        <v/>
      </c>
      <c r="U222" s="22" t="str">
        <f aca="false">IF(B222="","",TEXT(YEAR(B222),"0"))</f>
        <v/>
      </c>
    </row>
    <row r="223" customFormat="false" ht="15" hidden="false" customHeight="false" outlineLevel="0" collapsed="false">
      <c r="B223" s="28"/>
      <c r="C223" s="24" t="str">
        <f aca="false">IF(B223="","",DATE(YEAR(B223),MONTH(B223),1))</f>
        <v/>
      </c>
      <c r="N223" s="26" t="str">
        <f aca="false">IF(L223="","",L223*M223)</f>
        <v/>
      </c>
      <c r="P223" s="26" t="str">
        <f aca="false">IF(L223="","",N223-L223*O223)</f>
        <v/>
      </c>
      <c r="T223" s="22" t="str">
        <f aca="false">IF(R223="","",IF(R223&lt;=Q223,"Yes","No"))</f>
        <v/>
      </c>
      <c r="U223" s="22" t="str">
        <f aca="false">IF(B223="","",TEXT(YEAR(B223),"0"))</f>
        <v/>
      </c>
    </row>
    <row r="224" customFormat="false" ht="15" hidden="false" customHeight="false" outlineLevel="0" collapsed="false">
      <c r="B224" s="28"/>
      <c r="C224" s="24" t="str">
        <f aca="false">IF(B224="","",DATE(YEAR(B224),MONTH(B224),1))</f>
        <v/>
      </c>
      <c r="N224" s="26" t="str">
        <f aca="false">IF(L224="","",L224*M224)</f>
        <v/>
      </c>
      <c r="P224" s="26" t="str">
        <f aca="false">IF(L224="","",N224-L224*O224)</f>
        <v/>
      </c>
      <c r="T224" s="22" t="str">
        <f aca="false">IF(R224="","",IF(R224&lt;=Q224,"Yes","No"))</f>
        <v/>
      </c>
      <c r="U224" s="22" t="str">
        <f aca="false">IF(B224="","",TEXT(YEAR(B224),"0"))</f>
        <v/>
      </c>
    </row>
    <row r="225" customFormat="false" ht="15" hidden="false" customHeight="false" outlineLevel="0" collapsed="false">
      <c r="B225" s="28"/>
      <c r="C225" s="24" t="str">
        <f aca="false">IF(B225="","",DATE(YEAR(B225),MONTH(B225),1))</f>
        <v/>
      </c>
      <c r="N225" s="26" t="str">
        <f aca="false">IF(L225="","",L225*M225)</f>
        <v/>
      </c>
      <c r="P225" s="26" t="str">
        <f aca="false">IF(L225="","",N225-L225*O225)</f>
        <v/>
      </c>
      <c r="T225" s="22" t="str">
        <f aca="false">IF(R225="","",IF(R225&lt;=Q225,"Yes","No"))</f>
        <v/>
      </c>
      <c r="U225" s="22" t="str">
        <f aca="false">IF(B225="","",TEXT(YEAR(B225),"0"))</f>
        <v/>
      </c>
    </row>
    <row r="226" customFormat="false" ht="15" hidden="false" customHeight="false" outlineLevel="0" collapsed="false">
      <c r="B226" s="28"/>
      <c r="C226" s="24" t="str">
        <f aca="false">IF(B226="","",DATE(YEAR(B226),MONTH(B226),1))</f>
        <v/>
      </c>
      <c r="N226" s="26" t="str">
        <f aca="false">IF(L226="","",L226*M226)</f>
        <v/>
      </c>
      <c r="P226" s="26" t="str">
        <f aca="false">IF(L226="","",N226-L226*O226)</f>
        <v/>
      </c>
      <c r="T226" s="22" t="str">
        <f aca="false">IF(R226="","",IF(R226&lt;=Q226,"Yes","No"))</f>
        <v/>
      </c>
      <c r="U226" s="22" t="str">
        <f aca="false">IF(B226="","",TEXT(YEAR(B226),"0"))</f>
        <v/>
      </c>
    </row>
    <row r="227" customFormat="false" ht="15" hidden="false" customHeight="false" outlineLevel="0" collapsed="false">
      <c r="B227" s="28"/>
      <c r="C227" s="24" t="str">
        <f aca="false">IF(B227="","",DATE(YEAR(B227),MONTH(B227),1))</f>
        <v/>
      </c>
      <c r="N227" s="26" t="str">
        <f aca="false">IF(L227="","",L227*M227)</f>
        <v/>
      </c>
      <c r="P227" s="26" t="str">
        <f aca="false">IF(L227="","",N227-L227*O227)</f>
        <v/>
      </c>
      <c r="T227" s="22" t="str">
        <f aca="false">IF(R227="","",IF(R227&lt;=Q227,"Yes","No"))</f>
        <v/>
      </c>
      <c r="U227" s="22" t="str">
        <f aca="false">IF(B227="","",TEXT(YEAR(B227),"0"))</f>
        <v/>
      </c>
    </row>
    <row r="228" customFormat="false" ht="15" hidden="false" customHeight="false" outlineLevel="0" collapsed="false">
      <c r="B228" s="28"/>
      <c r="C228" s="24" t="str">
        <f aca="false">IF(B228="","",DATE(YEAR(B228),MONTH(B228),1))</f>
        <v/>
      </c>
      <c r="N228" s="26" t="str">
        <f aca="false">IF(L228="","",L228*M228)</f>
        <v/>
      </c>
      <c r="P228" s="26" t="str">
        <f aca="false">IF(L228="","",N228-L228*O228)</f>
        <v/>
      </c>
      <c r="T228" s="22" t="str">
        <f aca="false">IF(R228="","",IF(R228&lt;=Q228,"Yes","No"))</f>
        <v/>
      </c>
      <c r="U228" s="22" t="str">
        <f aca="false">IF(B228="","",TEXT(YEAR(B228),"0"))</f>
        <v/>
      </c>
    </row>
    <row r="229" customFormat="false" ht="15" hidden="false" customHeight="false" outlineLevel="0" collapsed="false">
      <c r="B229" s="28"/>
      <c r="C229" s="24" t="str">
        <f aca="false">IF(B229="","",DATE(YEAR(B229),MONTH(B229),1))</f>
        <v/>
      </c>
      <c r="N229" s="26" t="str">
        <f aca="false">IF(L229="","",L229*M229)</f>
        <v/>
      </c>
      <c r="P229" s="26" t="str">
        <f aca="false">IF(L229="","",N229-L229*O229)</f>
        <v/>
      </c>
      <c r="T229" s="22" t="str">
        <f aca="false">IF(R229="","",IF(R229&lt;=Q229,"Yes","No"))</f>
        <v/>
      </c>
      <c r="U229" s="22" t="str">
        <f aca="false">IF(B229="","",TEXT(YEAR(B229),"0"))</f>
        <v/>
      </c>
    </row>
    <row r="230" customFormat="false" ht="15" hidden="false" customHeight="false" outlineLevel="0" collapsed="false">
      <c r="B230" s="28"/>
      <c r="C230" s="24" t="str">
        <f aca="false">IF(B230="","",DATE(YEAR(B230),MONTH(B230),1))</f>
        <v/>
      </c>
      <c r="N230" s="26" t="str">
        <f aca="false">IF(L230="","",L230*M230)</f>
        <v/>
      </c>
      <c r="P230" s="26" t="str">
        <f aca="false">IF(L230="","",N230-L230*O230)</f>
        <v/>
      </c>
      <c r="T230" s="22" t="str">
        <f aca="false">IF(R230="","",IF(R230&lt;=Q230,"Yes","No"))</f>
        <v/>
      </c>
      <c r="U230" s="22" t="str">
        <f aca="false">IF(B230="","",TEXT(YEAR(B230),"0"))</f>
        <v/>
      </c>
    </row>
    <row r="231" customFormat="false" ht="15" hidden="false" customHeight="false" outlineLevel="0" collapsed="false">
      <c r="B231" s="28"/>
      <c r="C231" s="24" t="str">
        <f aca="false">IF(B231="","",DATE(YEAR(B231),MONTH(B231),1))</f>
        <v/>
      </c>
      <c r="N231" s="26" t="str">
        <f aca="false">IF(L231="","",L231*M231)</f>
        <v/>
      </c>
      <c r="P231" s="26" t="str">
        <f aca="false">IF(L231="","",N231-L231*O231)</f>
        <v/>
      </c>
      <c r="T231" s="22" t="str">
        <f aca="false">IF(R231="","",IF(R231&lt;=Q231,"Yes","No"))</f>
        <v/>
      </c>
      <c r="U231" s="22" t="str">
        <f aca="false">IF(B231="","",TEXT(YEAR(B231),"0"))</f>
        <v/>
      </c>
    </row>
    <row r="232" customFormat="false" ht="15" hidden="false" customHeight="false" outlineLevel="0" collapsed="false">
      <c r="B232" s="28"/>
      <c r="C232" s="24" t="str">
        <f aca="false">IF(B232="","",DATE(YEAR(B232),MONTH(B232),1))</f>
        <v/>
      </c>
      <c r="N232" s="26" t="str">
        <f aca="false">IF(L232="","",L232*M232)</f>
        <v/>
      </c>
      <c r="P232" s="26" t="str">
        <f aca="false">IF(L232="","",N232-L232*O232)</f>
        <v/>
      </c>
      <c r="T232" s="22" t="str">
        <f aca="false">IF(R232="","",IF(R232&lt;=Q232,"Yes","No"))</f>
        <v/>
      </c>
      <c r="U232" s="22" t="str">
        <f aca="false">IF(B232="","",TEXT(YEAR(B232),"0"))</f>
        <v/>
      </c>
    </row>
    <row r="233" customFormat="false" ht="15" hidden="false" customHeight="false" outlineLevel="0" collapsed="false">
      <c r="B233" s="28"/>
      <c r="C233" s="24" t="str">
        <f aca="false">IF(B233="","",DATE(YEAR(B233),MONTH(B233),1))</f>
        <v/>
      </c>
      <c r="N233" s="26" t="str">
        <f aca="false">IF(L233="","",L233*M233)</f>
        <v/>
      </c>
      <c r="P233" s="26" t="str">
        <f aca="false">IF(L233="","",N233-L233*O233)</f>
        <v/>
      </c>
      <c r="T233" s="22" t="str">
        <f aca="false">IF(R233="","",IF(R233&lt;=Q233,"Yes","No"))</f>
        <v/>
      </c>
      <c r="U233" s="22" t="str">
        <f aca="false">IF(B233="","",TEXT(YEAR(B233),"0"))</f>
        <v/>
      </c>
    </row>
    <row r="234" customFormat="false" ht="15" hidden="false" customHeight="false" outlineLevel="0" collapsed="false">
      <c r="B234" s="28"/>
      <c r="C234" s="24" t="str">
        <f aca="false">IF(B234="","",DATE(YEAR(B234),MONTH(B234),1))</f>
        <v/>
      </c>
      <c r="N234" s="26" t="str">
        <f aca="false">IF(L234="","",L234*M234)</f>
        <v/>
      </c>
      <c r="P234" s="26" t="str">
        <f aca="false">IF(L234="","",N234-L234*O234)</f>
        <v/>
      </c>
      <c r="T234" s="22" t="str">
        <f aca="false">IF(R234="","",IF(R234&lt;=Q234,"Yes","No"))</f>
        <v/>
      </c>
      <c r="U234" s="22" t="str">
        <f aca="false">IF(B234="","",TEXT(YEAR(B234),"0"))</f>
        <v/>
      </c>
    </row>
    <row r="235" customFormat="false" ht="15" hidden="false" customHeight="false" outlineLevel="0" collapsed="false">
      <c r="B235" s="28"/>
      <c r="C235" s="24" t="str">
        <f aca="false">IF(B235="","",DATE(YEAR(B235),MONTH(B235),1))</f>
        <v/>
      </c>
      <c r="N235" s="26" t="str">
        <f aca="false">IF(L235="","",L235*M235)</f>
        <v/>
      </c>
      <c r="P235" s="26" t="str">
        <f aca="false">IF(L235="","",N235-L235*O235)</f>
        <v/>
      </c>
      <c r="T235" s="22" t="str">
        <f aca="false">IF(R235="","",IF(R235&lt;=Q235,"Yes","No"))</f>
        <v/>
      </c>
      <c r="U235" s="22" t="str">
        <f aca="false">IF(B235="","",TEXT(YEAR(B235),"0"))</f>
        <v/>
      </c>
    </row>
    <row r="236" customFormat="false" ht="15" hidden="false" customHeight="false" outlineLevel="0" collapsed="false">
      <c r="B236" s="28"/>
      <c r="C236" s="24" t="str">
        <f aca="false">IF(B236="","",DATE(YEAR(B236),MONTH(B236),1))</f>
        <v/>
      </c>
      <c r="N236" s="26" t="str">
        <f aca="false">IF(L236="","",L236*M236)</f>
        <v/>
      </c>
      <c r="P236" s="26" t="str">
        <f aca="false">IF(L236="","",N236-L236*O236)</f>
        <v/>
      </c>
      <c r="T236" s="22" t="str">
        <f aca="false">IF(R236="","",IF(R236&lt;=Q236,"Yes","No"))</f>
        <v/>
      </c>
      <c r="U236" s="22" t="str">
        <f aca="false">IF(B236="","",TEXT(YEAR(B236),"0"))</f>
        <v/>
      </c>
    </row>
    <row r="237" customFormat="false" ht="15" hidden="false" customHeight="false" outlineLevel="0" collapsed="false">
      <c r="B237" s="28"/>
      <c r="C237" s="24" t="str">
        <f aca="false">IF(B237="","",DATE(YEAR(B237),MONTH(B237),1))</f>
        <v/>
      </c>
      <c r="N237" s="26" t="str">
        <f aca="false">IF(L237="","",L237*M237)</f>
        <v/>
      </c>
      <c r="P237" s="26" t="str">
        <f aca="false">IF(L237="","",N237-L237*O237)</f>
        <v/>
      </c>
      <c r="T237" s="22" t="str">
        <f aca="false">IF(R237="","",IF(R237&lt;=Q237,"Yes","No"))</f>
        <v/>
      </c>
      <c r="U237" s="22" t="str">
        <f aca="false">IF(B237="","",TEXT(YEAR(B237),"0"))</f>
        <v/>
      </c>
    </row>
    <row r="238" customFormat="false" ht="15" hidden="false" customHeight="false" outlineLevel="0" collapsed="false">
      <c r="B238" s="28"/>
      <c r="C238" s="24" t="str">
        <f aca="false">IF(B238="","",DATE(YEAR(B238),MONTH(B238),1))</f>
        <v/>
      </c>
      <c r="N238" s="26" t="str">
        <f aca="false">IF(L238="","",L238*M238)</f>
        <v/>
      </c>
      <c r="P238" s="26" t="str">
        <f aca="false">IF(L238="","",N238-L238*O238)</f>
        <v/>
      </c>
      <c r="T238" s="22" t="str">
        <f aca="false">IF(R238="","",IF(R238&lt;=Q238,"Yes","No"))</f>
        <v/>
      </c>
      <c r="U238" s="22" t="str">
        <f aca="false">IF(B238="","",TEXT(YEAR(B238),"0"))</f>
        <v/>
      </c>
    </row>
    <row r="239" customFormat="false" ht="15" hidden="false" customHeight="false" outlineLevel="0" collapsed="false">
      <c r="B239" s="28"/>
      <c r="C239" s="24" t="str">
        <f aca="false">IF(B239="","",DATE(YEAR(B239),MONTH(B239),1))</f>
        <v/>
      </c>
      <c r="N239" s="26" t="str">
        <f aca="false">IF(L239="","",L239*M239)</f>
        <v/>
      </c>
      <c r="P239" s="26" t="str">
        <f aca="false">IF(L239="","",N239-L239*O239)</f>
        <v/>
      </c>
      <c r="T239" s="22" t="str">
        <f aca="false">IF(R239="","",IF(R239&lt;=Q239,"Yes","No"))</f>
        <v/>
      </c>
      <c r="U239" s="22" t="str">
        <f aca="false">IF(B239="","",TEXT(YEAR(B239),"0"))</f>
        <v/>
      </c>
    </row>
    <row r="240" customFormat="false" ht="15" hidden="false" customHeight="false" outlineLevel="0" collapsed="false">
      <c r="B240" s="28"/>
      <c r="C240" s="24" t="str">
        <f aca="false">IF(B240="","",DATE(YEAR(B240),MONTH(B240),1))</f>
        <v/>
      </c>
      <c r="N240" s="26" t="str">
        <f aca="false">IF(L240="","",L240*M240)</f>
        <v/>
      </c>
      <c r="P240" s="26" t="str">
        <f aca="false">IF(L240="","",N240-L240*O240)</f>
        <v/>
      </c>
      <c r="T240" s="22" t="str">
        <f aca="false">IF(R240="","",IF(R240&lt;=Q240,"Yes","No"))</f>
        <v/>
      </c>
      <c r="U240" s="22" t="str">
        <f aca="false">IF(B240="","",TEXT(YEAR(B240),"0"))</f>
        <v/>
      </c>
    </row>
    <row r="241" customFormat="false" ht="15" hidden="false" customHeight="false" outlineLevel="0" collapsed="false">
      <c r="B241" s="28"/>
      <c r="C241" s="24" t="str">
        <f aca="false">IF(B241="","",DATE(YEAR(B241),MONTH(B241),1))</f>
        <v/>
      </c>
      <c r="N241" s="26" t="str">
        <f aca="false">IF(L241="","",L241*M241)</f>
        <v/>
      </c>
      <c r="P241" s="26" t="str">
        <f aca="false">IF(L241="","",N241-L241*O241)</f>
        <v/>
      </c>
      <c r="T241" s="22" t="str">
        <f aca="false">IF(R241="","",IF(R241&lt;=Q241,"Yes","No"))</f>
        <v/>
      </c>
      <c r="U241" s="22" t="str">
        <f aca="false">IF(B241="","",TEXT(YEAR(B241),"0"))</f>
        <v/>
      </c>
    </row>
    <row r="242" customFormat="false" ht="15" hidden="false" customHeight="false" outlineLevel="0" collapsed="false">
      <c r="B242" s="28"/>
      <c r="C242" s="24" t="str">
        <f aca="false">IF(B242="","",DATE(YEAR(B242),MONTH(B242),1))</f>
        <v/>
      </c>
      <c r="N242" s="26" t="str">
        <f aca="false">IF(L242="","",L242*M242)</f>
        <v/>
      </c>
      <c r="P242" s="26" t="str">
        <f aca="false">IF(L242="","",N242-L242*O242)</f>
        <v/>
      </c>
      <c r="T242" s="22" t="str">
        <f aca="false">IF(R242="","",IF(R242&lt;=Q242,"Yes","No"))</f>
        <v/>
      </c>
      <c r="U242" s="22" t="str">
        <f aca="false">IF(B242="","",TEXT(YEAR(B242),"0"))</f>
        <v/>
      </c>
    </row>
    <row r="243" customFormat="false" ht="15" hidden="false" customHeight="false" outlineLevel="0" collapsed="false">
      <c r="B243" s="28"/>
      <c r="C243" s="24" t="str">
        <f aca="false">IF(B243="","",DATE(YEAR(B243),MONTH(B243),1))</f>
        <v/>
      </c>
      <c r="N243" s="26" t="str">
        <f aca="false">IF(L243="","",L243*M243)</f>
        <v/>
      </c>
      <c r="P243" s="26" t="str">
        <f aca="false">IF(L243="","",N243-L243*O243)</f>
        <v/>
      </c>
      <c r="T243" s="22" t="str">
        <f aca="false">IF(R243="","",IF(R243&lt;=Q243,"Yes","No"))</f>
        <v/>
      </c>
      <c r="U243" s="22" t="str">
        <f aca="false">IF(B243="","",TEXT(YEAR(B243),"0"))</f>
        <v/>
      </c>
    </row>
    <row r="244" customFormat="false" ht="15" hidden="false" customHeight="false" outlineLevel="0" collapsed="false">
      <c r="B244" s="28"/>
      <c r="C244" s="24" t="str">
        <f aca="false">IF(B244="","",DATE(YEAR(B244),MONTH(B244),1))</f>
        <v/>
      </c>
      <c r="N244" s="26" t="str">
        <f aca="false">IF(L244="","",L244*M244)</f>
        <v/>
      </c>
      <c r="P244" s="26" t="str">
        <f aca="false">IF(L244="","",N244-L244*O244)</f>
        <v/>
      </c>
      <c r="T244" s="22" t="str">
        <f aca="false">IF(R244="","",IF(R244&lt;=Q244,"Yes","No"))</f>
        <v/>
      </c>
      <c r="U244" s="22" t="str">
        <f aca="false">IF(B244="","",TEXT(YEAR(B244),"0"))</f>
        <v/>
      </c>
    </row>
    <row r="245" customFormat="false" ht="15" hidden="false" customHeight="false" outlineLevel="0" collapsed="false">
      <c r="B245" s="28"/>
      <c r="C245" s="24" t="str">
        <f aca="false">IF(B245="","",DATE(YEAR(B245),MONTH(B245),1))</f>
        <v/>
      </c>
      <c r="N245" s="26" t="str">
        <f aca="false">IF(L245="","",L245*M245)</f>
        <v/>
      </c>
      <c r="P245" s="26" t="str">
        <f aca="false">IF(L245="","",N245-L245*O245)</f>
        <v/>
      </c>
      <c r="T245" s="22" t="str">
        <f aca="false">IF(R245="","",IF(R245&lt;=Q245,"Yes","No"))</f>
        <v/>
      </c>
      <c r="U245" s="22" t="str">
        <f aca="false">IF(B245="","",TEXT(YEAR(B245),"0"))</f>
        <v/>
      </c>
    </row>
    <row r="246" customFormat="false" ht="15" hidden="false" customHeight="false" outlineLevel="0" collapsed="false">
      <c r="B246" s="28"/>
      <c r="C246" s="24" t="str">
        <f aca="false">IF(B246="","",DATE(YEAR(B246),MONTH(B246),1))</f>
        <v/>
      </c>
      <c r="N246" s="26" t="str">
        <f aca="false">IF(L246="","",L246*M246)</f>
        <v/>
      </c>
      <c r="P246" s="26" t="str">
        <f aca="false">IF(L246="","",N246-L246*O246)</f>
        <v/>
      </c>
      <c r="T246" s="22" t="str">
        <f aca="false">IF(R246="","",IF(R246&lt;=Q246,"Yes","No"))</f>
        <v/>
      </c>
      <c r="U246" s="22" t="str">
        <f aca="false">IF(B246="","",TEXT(YEAR(B246),"0"))</f>
        <v/>
      </c>
    </row>
    <row r="247" customFormat="false" ht="15" hidden="false" customHeight="false" outlineLevel="0" collapsed="false">
      <c r="B247" s="28"/>
      <c r="C247" s="24" t="str">
        <f aca="false">IF(B247="","",DATE(YEAR(B247),MONTH(B247),1))</f>
        <v/>
      </c>
      <c r="N247" s="26" t="str">
        <f aca="false">IF(L247="","",L247*M247)</f>
        <v/>
      </c>
      <c r="P247" s="26" t="str">
        <f aca="false">IF(L247="","",N247-L247*O247)</f>
        <v/>
      </c>
      <c r="T247" s="22" t="str">
        <f aca="false">IF(R247="","",IF(R247&lt;=Q247,"Yes","No"))</f>
        <v/>
      </c>
      <c r="U247" s="22" t="str">
        <f aca="false">IF(B247="","",TEXT(YEAR(B247),"0"))</f>
        <v/>
      </c>
    </row>
    <row r="248" customFormat="false" ht="15" hidden="false" customHeight="false" outlineLevel="0" collapsed="false">
      <c r="B248" s="28"/>
      <c r="C248" s="24" t="str">
        <f aca="false">IF(B248="","",DATE(YEAR(B248),MONTH(B248),1))</f>
        <v/>
      </c>
      <c r="N248" s="26" t="str">
        <f aca="false">IF(L248="","",L248*M248)</f>
        <v/>
      </c>
      <c r="P248" s="26" t="str">
        <f aca="false">IF(L248="","",N248-L248*O248)</f>
        <v/>
      </c>
      <c r="T248" s="22" t="str">
        <f aca="false">IF(R248="","",IF(R248&lt;=Q248,"Yes","No"))</f>
        <v/>
      </c>
      <c r="U248" s="22" t="str">
        <f aca="false">IF(B248="","",TEXT(YEAR(B248),"0"))</f>
        <v/>
      </c>
    </row>
    <row r="249" customFormat="false" ht="15" hidden="false" customHeight="false" outlineLevel="0" collapsed="false">
      <c r="B249" s="28"/>
      <c r="C249" s="24" t="str">
        <f aca="false">IF(B249="","",DATE(YEAR(B249),MONTH(B249),1))</f>
        <v/>
      </c>
      <c r="N249" s="26" t="str">
        <f aca="false">IF(L249="","",L249*M249)</f>
        <v/>
      </c>
      <c r="P249" s="26" t="str">
        <f aca="false">IF(L249="","",N249-L249*O249)</f>
        <v/>
      </c>
      <c r="T249" s="22" t="str">
        <f aca="false">IF(R249="","",IF(R249&lt;=Q249,"Yes","No"))</f>
        <v/>
      </c>
      <c r="U249" s="22" t="str">
        <f aca="false">IF(B249="","",TEXT(YEAR(B249),"0"))</f>
        <v/>
      </c>
    </row>
    <row r="250" customFormat="false" ht="15" hidden="false" customHeight="false" outlineLevel="0" collapsed="false">
      <c r="B250" s="28"/>
      <c r="C250" s="24" t="str">
        <f aca="false">IF(B250="","",DATE(YEAR(B250),MONTH(B250),1))</f>
        <v/>
      </c>
      <c r="N250" s="26" t="str">
        <f aca="false">IF(L250="","",L250*M250)</f>
        <v/>
      </c>
      <c r="P250" s="26" t="str">
        <f aca="false">IF(L250="","",N250-L250*O250)</f>
        <v/>
      </c>
      <c r="T250" s="22" t="str">
        <f aca="false">IF(R250="","",IF(R250&lt;=Q250,"Yes","No"))</f>
        <v/>
      </c>
      <c r="U250" s="22" t="str">
        <f aca="false">IF(B250="","",TEXT(YEAR(B250),"0"))</f>
        <v/>
      </c>
    </row>
    <row r="251" customFormat="false" ht="15" hidden="false" customHeight="false" outlineLevel="0" collapsed="false">
      <c r="B251" s="28"/>
      <c r="C251" s="24" t="str">
        <f aca="false">IF(B251="","",DATE(YEAR(B251),MONTH(B251),1))</f>
        <v/>
      </c>
      <c r="N251" s="26" t="str">
        <f aca="false">IF(L251="","",L251*M251)</f>
        <v/>
      </c>
      <c r="P251" s="26" t="str">
        <f aca="false">IF(L251="","",N251-L251*O251)</f>
        <v/>
      </c>
      <c r="T251" s="22" t="str">
        <f aca="false">IF(R251="","",IF(R251&lt;=Q251,"Yes","No"))</f>
        <v/>
      </c>
      <c r="U251" s="22" t="str">
        <f aca="false">IF(B251="","",TEXT(YEAR(B251),"0"))</f>
        <v/>
      </c>
    </row>
    <row r="252" customFormat="false" ht="15" hidden="false" customHeight="false" outlineLevel="0" collapsed="false">
      <c r="B252" s="28"/>
      <c r="C252" s="24" t="str">
        <f aca="false">IF(B252="","",DATE(YEAR(B252),MONTH(B252),1))</f>
        <v/>
      </c>
      <c r="N252" s="26" t="str">
        <f aca="false">IF(L252="","",L252*M252)</f>
        <v/>
      </c>
      <c r="P252" s="26" t="str">
        <f aca="false">IF(L252="","",N252-L252*O252)</f>
        <v/>
      </c>
      <c r="T252" s="22" t="str">
        <f aca="false">IF(R252="","",IF(R252&lt;=Q252,"Yes","No"))</f>
        <v/>
      </c>
      <c r="U252" s="22" t="str">
        <f aca="false">IF(B252="","",TEXT(YEAR(B252),"0"))</f>
        <v/>
      </c>
    </row>
    <row r="253" customFormat="false" ht="15" hidden="false" customHeight="false" outlineLevel="0" collapsed="false">
      <c r="B253" s="28"/>
      <c r="C253" s="24" t="str">
        <f aca="false">IF(B253="","",DATE(YEAR(B253),MONTH(B253),1))</f>
        <v/>
      </c>
      <c r="N253" s="26" t="str">
        <f aca="false">IF(L253="","",L253*M253)</f>
        <v/>
      </c>
      <c r="P253" s="26" t="str">
        <f aca="false">IF(L253="","",N253-L253*O253)</f>
        <v/>
      </c>
      <c r="T253" s="22" t="str">
        <f aca="false">IF(R253="","",IF(R253&lt;=Q253,"Yes","No"))</f>
        <v/>
      </c>
      <c r="U253" s="22" t="str">
        <f aca="false">IF(B253="","",TEXT(YEAR(B253),"0"))</f>
        <v/>
      </c>
    </row>
    <row r="254" customFormat="false" ht="15" hidden="false" customHeight="false" outlineLevel="0" collapsed="false">
      <c r="B254" s="28"/>
      <c r="C254" s="24" t="str">
        <f aca="false">IF(B254="","",DATE(YEAR(B254),MONTH(B254),1))</f>
        <v/>
      </c>
      <c r="N254" s="26" t="str">
        <f aca="false">IF(L254="","",L254*M254)</f>
        <v/>
      </c>
      <c r="P254" s="26" t="str">
        <f aca="false">IF(L254="","",N254-L254*O254)</f>
        <v/>
      </c>
      <c r="T254" s="22" t="str">
        <f aca="false">IF(R254="","",IF(R254&lt;=Q254,"Yes","No"))</f>
        <v/>
      </c>
      <c r="U254" s="22" t="str">
        <f aca="false">IF(B254="","",TEXT(YEAR(B254),"0"))</f>
        <v/>
      </c>
    </row>
    <row r="255" customFormat="false" ht="15" hidden="false" customHeight="false" outlineLevel="0" collapsed="false">
      <c r="B255" s="28"/>
      <c r="C255" s="24" t="str">
        <f aca="false">IF(B255="","",DATE(YEAR(B255),MONTH(B255),1))</f>
        <v/>
      </c>
      <c r="N255" s="26" t="str">
        <f aca="false">IF(L255="","",L255*M255)</f>
        <v/>
      </c>
      <c r="P255" s="26" t="str">
        <f aca="false">IF(L255="","",N255-L255*O255)</f>
        <v/>
      </c>
      <c r="T255" s="22" t="str">
        <f aca="false">IF(R255="","",IF(R255&lt;=Q255,"Yes","No"))</f>
        <v/>
      </c>
      <c r="U255" s="22" t="str">
        <f aca="false">IF(B255="","",TEXT(YEAR(B255),"0"))</f>
        <v/>
      </c>
    </row>
    <row r="256" customFormat="false" ht="15" hidden="false" customHeight="false" outlineLevel="0" collapsed="false">
      <c r="B256" s="28"/>
      <c r="C256" s="24" t="str">
        <f aca="false">IF(B256="","",DATE(YEAR(B256),MONTH(B256),1))</f>
        <v/>
      </c>
      <c r="N256" s="26" t="str">
        <f aca="false">IF(L256="","",L256*M256)</f>
        <v/>
      </c>
      <c r="P256" s="26" t="str">
        <f aca="false">IF(L256="","",N256-L256*O256)</f>
        <v/>
      </c>
      <c r="T256" s="22" t="str">
        <f aca="false">IF(R256="","",IF(R256&lt;=Q256,"Yes","No"))</f>
        <v/>
      </c>
      <c r="U256" s="22" t="str">
        <f aca="false">IF(B256="","",TEXT(YEAR(B256),"0"))</f>
        <v/>
      </c>
    </row>
    <row r="257" customFormat="false" ht="15" hidden="false" customHeight="false" outlineLevel="0" collapsed="false">
      <c r="B257" s="28"/>
      <c r="C257" s="24" t="str">
        <f aca="false">IF(B257="","",DATE(YEAR(B257),MONTH(B257),1))</f>
        <v/>
      </c>
      <c r="N257" s="26" t="str">
        <f aca="false">IF(L257="","",L257*M257)</f>
        <v/>
      </c>
      <c r="P257" s="26" t="str">
        <f aca="false">IF(L257="","",N257-L257*O257)</f>
        <v/>
      </c>
      <c r="T257" s="22" t="str">
        <f aca="false">IF(R257="","",IF(R257&lt;=Q257,"Yes","No"))</f>
        <v/>
      </c>
      <c r="U257" s="22" t="str">
        <f aca="false">IF(B257="","",TEXT(YEAR(B257),"0"))</f>
        <v/>
      </c>
    </row>
    <row r="258" customFormat="false" ht="15" hidden="false" customHeight="false" outlineLevel="0" collapsed="false">
      <c r="B258" s="28"/>
      <c r="C258" s="24" t="str">
        <f aca="false">IF(B258="","",DATE(YEAR(B258),MONTH(B258),1))</f>
        <v/>
      </c>
      <c r="N258" s="26" t="str">
        <f aca="false">IF(L258="","",L258*M258)</f>
        <v/>
      </c>
      <c r="P258" s="26" t="str">
        <f aca="false">IF(L258="","",N258-L258*O258)</f>
        <v/>
      </c>
      <c r="T258" s="22" t="str">
        <f aca="false">IF(R258="","",IF(R258&lt;=Q258,"Yes","No"))</f>
        <v/>
      </c>
      <c r="U258" s="22" t="str">
        <f aca="false">IF(B258="","",TEXT(YEAR(B258),"0"))</f>
        <v/>
      </c>
    </row>
    <row r="259" customFormat="false" ht="15" hidden="false" customHeight="false" outlineLevel="0" collapsed="false">
      <c r="B259" s="28"/>
      <c r="C259" s="24" t="str">
        <f aca="false">IF(B259="","",DATE(YEAR(B259),MONTH(B259),1))</f>
        <v/>
      </c>
      <c r="N259" s="26" t="str">
        <f aca="false">IF(L259="","",L259*M259)</f>
        <v/>
      </c>
      <c r="P259" s="26" t="str">
        <f aca="false">IF(L259="","",N259-L259*O259)</f>
        <v/>
      </c>
      <c r="T259" s="22" t="str">
        <f aca="false">IF(R259="","",IF(R259&lt;=Q259,"Yes","No"))</f>
        <v/>
      </c>
      <c r="U259" s="22" t="str">
        <f aca="false">IF(B259="","",TEXT(YEAR(B259),"0"))</f>
        <v/>
      </c>
    </row>
    <row r="260" customFormat="false" ht="15" hidden="false" customHeight="false" outlineLevel="0" collapsed="false">
      <c r="B260" s="28"/>
      <c r="C260" s="24" t="str">
        <f aca="false">IF(B260="","",DATE(YEAR(B260),MONTH(B260),1))</f>
        <v/>
      </c>
      <c r="N260" s="26" t="str">
        <f aca="false">IF(L260="","",L260*M260)</f>
        <v/>
      </c>
      <c r="P260" s="26" t="str">
        <f aca="false">IF(L260="","",N260-L260*O260)</f>
        <v/>
      </c>
      <c r="T260" s="22" t="str">
        <f aca="false">IF(R260="","",IF(R260&lt;=Q260,"Yes","No"))</f>
        <v/>
      </c>
      <c r="U260" s="22" t="str">
        <f aca="false">IF(B260="","",TEXT(YEAR(B260),"0"))</f>
        <v/>
      </c>
    </row>
    <row r="261" customFormat="false" ht="15" hidden="false" customHeight="false" outlineLevel="0" collapsed="false">
      <c r="B261" s="28"/>
      <c r="C261" s="24" t="str">
        <f aca="false">IF(B261="","",DATE(YEAR(B261),MONTH(B261),1))</f>
        <v/>
      </c>
      <c r="N261" s="26" t="str">
        <f aca="false">IF(L261="","",L261*M261)</f>
        <v/>
      </c>
      <c r="P261" s="26" t="str">
        <f aca="false">IF(L261="","",N261-L261*O261)</f>
        <v/>
      </c>
      <c r="T261" s="22" t="str">
        <f aca="false">IF(R261="","",IF(R261&lt;=Q261,"Yes","No"))</f>
        <v/>
      </c>
      <c r="U261" s="22" t="str">
        <f aca="false">IF(B261="","",TEXT(YEAR(B261),"0"))</f>
        <v/>
      </c>
    </row>
    <row r="262" customFormat="false" ht="15" hidden="false" customHeight="false" outlineLevel="0" collapsed="false">
      <c r="B262" s="28"/>
      <c r="C262" s="24" t="str">
        <f aca="false">IF(B262="","",DATE(YEAR(B262),MONTH(B262),1))</f>
        <v/>
      </c>
      <c r="N262" s="26" t="str">
        <f aca="false">IF(L262="","",L262*M262)</f>
        <v/>
      </c>
      <c r="P262" s="26" t="str">
        <f aca="false">IF(L262="","",N262-L262*O262)</f>
        <v/>
      </c>
      <c r="T262" s="22" t="str">
        <f aca="false">IF(R262="","",IF(R262&lt;=Q262,"Yes","No"))</f>
        <v/>
      </c>
      <c r="U262" s="22" t="str">
        <f aca="false">IF(B262="","",TEXT(YEAR(B262),"0"))</f>
        <v/>
      </c>
    </row>
    <row r="263" customFormat="false" ht="15" hidden="false" customHeight="false" outlineLevel="0" collapsed="false">
      <c r="B263" s="28"/>
      <c r="C263" s="24" t="str">
        <f aca="false">IF(B263="","",DATE(YEAR(B263),MONTH(B263),1))</f>
        <v/>
      </c>
      <c r="N263" s="26" t="str">
        <f aca="false">IF(L263="","",L263*M263)</f>
        <v/>
      </c>
      <c r="P263" s="26" t="str">
        <f aca="false">IF(L263="","",N263-L263*O263)</f>
        <v/>
      </c>
      <c r="T263" s="22" t="str">
        <f aca="false">IF(R263="","",IF(R263&lt;=Q263,"Yes","No"))</f>
        <v/>
      </c>
      <c r="U263" s="22" t="str">
        <f aca="false">IF(B263="","",TEXT(YEAR(B263),"0"))</f>
        <v/>
      </c>
    </row>
    <row r="264" customFormat="false" ht="15" hidden="false" customHeight="false" outlineLevel="0" collapsed="false">
      <c r="B264" s="28"/>
      <c r="C264" s="24" t="str">
        <f aca="false">IF(B264="","",DATE(YEAR(B264),MONTH(B264),1))</f>
        <v/>
      </c>
      <c r="N264" s="26" t="str">
        <f aca="false">IF(L264="","",L264*M264)</f>
        <v/>
      </c>
      <c r="P264" s="26" t="str">
        <f aca="false">IF(L264="","",N264-L264*O264)</f>
        <v/>
      </c>
      <c r="T264" s="22" t="str">
        <f aca="false">IF(R264="","",IF(R264&lt;=Q264,"Yes","No"))</f>
        <v/>
      </c>
      <c r="U264" s="22" t="str">
        <f aca="false">IF(B264="","",TEXT(YEAR(B264),"0"))</f>
        <v/>
      </c>
    </row>
    <row r="265" customFormat="false" ht="15" hidden="false" customHeight="false" outlineLevel="0" collapsed="false">
      <c r="B265" s="28"/>
      <c r="C265" s="24" t="str">
        <f aca="false">IF(B265="","",DATE(YEAR(B265),MONTH(B265),1))</f>
        <v/>
      </c>
      <c r="N265" s="26" t="str">
        <f aca="false">IF(L265="","",L265*M265)</f>
        <v/>
      </c>
      <c r="P265" s="26" t="str">
        <f aca="false">IF(L265="","",N265-L265*O265)</f>
        <v/>
      </c>
      <c r="T265" s="22" t="str">
        <f aca="false">IF(R265="","",IF(R265&lt;=Q265,"Yes","No"))</f>
        <v/>
      </c>
      <c r="U265" s="22" t="str">
        <f aca="false">IF(B265="","",TEXT(YEAR(B265),"0"))</f>
        <v/>
      </c>
    </row>
    <row r="266" customFormat="false" ht="15" hidden="false" customHeight="false" outlineLevel="0" collapsed="false">
      <c r="B266" s="28"/>
      <c r="C266" s="24" t="str">
        <f aca="false">IF(B266="","",DATE(YEAR(B266),MONTH(B266),1))</f>
        <v/>
      </c>
      <c r="N266" s="26" t="str">
        <f aca="false">IF(L266="","",L266*M266)</f>
        <v/>
      </c>
      <c r="P266" s="26" t="str">
        <f aca="false">IF(L266="","",N266-L266*O266)</f>
        <v/>
      </c>
      <c r="T266" s="22" t="str">
        <f aca="false">IF(R266="","",IF(R266&lt;=Q266,"Yes","No"))</f>
        <v/>
      </c>
      <c r="U266" s="22" t="str">
        <f aca="false">IF(B266="","",TEXT(YEAR(B266),"0"))</f>
        <v/>
      </c>
    </row>
    <row r="267" customFormat="false" ht="15" hidden="false" customHeight="false" outlineLevel="0" collapsed="false">
      <c r="B267" s="28"/>
      <c r="C267" s="24" t="str">
        <f aca="false">IF(B267="","",DATE(YEAR(B267),MONTH(B267),1))</f>
        <v/>
      </c>
      <c r="N267" s="26" t="str">
        <f aca="false">IF(L267="","",L267*M267)</f>
        <v/>
      </c>
      <c r="P267" s="26" t="str">
        <f aca="false">IF(L267="","",N267-L267*O267)</f>
        <v/>
      </c>
      <c r="T267" s="22" t="str">
        <f aca="false">IF(R267="","",IF(R267&lt;=Q267,"Yes","No"))</f>
        <v/>
      </c>
      <c r="U267" s="22" t="str">
        <f aca="false">IF(B267="","",TEXT(YEAR(B267),"0"))</f>
        <v/>
      </c>
    </row>
    <row r="268" customFormat="false" ht="15" hidden="false" customHeight="false" outlineLevel="0" collapsed="false">
      <c r="B268" s="28"/>
      <c r="C268" s="24" t="str">
        <f aca="false">IF(B268="","",DATE(YEAR(B268),MONTH(B268),1))</f>
        <v/>
      </c>
      <c r="N268" s="26" t="str">
        <f aca="false">IF(L268="","",L268*M268)</f>
        <v/>
      </c>
      <c r="P268" s="26" t="str">
        <f aca="false">IF(L268="","",N268-L268*O268)</f>
        <v/>
      </c>
      <c r="T268" s="22" t="str">
        <f aca="false">IF(R268="","",IF(R268&lt;=Q268,"Yes","No"))</f>
        <v/>
      </c>
      <c r="U268" s="22" t="str">
        <f aca="false">IF(B268="","",TEXT(YEAR(B268),"0"))</f>
        <v/>
      </c>
    </row>
    <row r="269" customFormat="false" ht="15" hidden="false" customHeight="false" outlineLevel="0" collapsed="false">
      <c r="B269" s="28"/>
      <c r="C269" s="24" t="str">
        <f aca="false">IF(B269="","",DATE(YEAR(B269),MONTH(B269),1))</f>
        <v/>
      </c>
      <c r="N269" s="26" t="str">
        <f aca="false">IF(L269="","",L269*M269)</f>
        <v/>
      </c>
      <c r="P269" s="26" t="str">
        <f aca="false">IF(L269="","",N269-L269*O269)</f>
        <v/>
      </c>
      <c r="T269" s="22" t="str">
        <f aca="false">IF(R269="","",IF(R269&lt;=Q269,"Yes","No"))</f>
        <v/>
      </c>
      <c r="U269" s="22" t="str">
        <f aca="false">IF(B269="","",TEXT(YEAR(B269),"0"))</f>
        <v/>
      </c>
    </row>
    <row r="270" customFormat="false" ht="15" hidden="false" customHeight="false" outlineLevel="0" collapsed="false">
      <c r="B270" s="28"/>
      <c r="C270" s="24" t="str">
        <f aca="false">IF(B270="","",DATE(YEAR(B270),MONTH(B270),1))</f>
        <v/>
      </c>
      <c r="N270" s="26" t="str">
        <f aca="false">IF(L270="","",L270*M270)</f>
        <v/>
      </c>
      <c r="P270" s="26" t="str">
        <f aca="false">IF(L270="","",N270-L270*O270)</f>
        <v/>
      </c>
      <c r="T270" s="22" t="str">
        <f aca="false">IF(R270="","",IF(R270&lt;=Q270,"Yes","No"))</f>
        <v/>
      </c>
      <c r="U270" s="22" t="str">
        <f aca="false">IF(B270="","",TEXT(YEAR(B270),"0"))</f>
        <v/>
      </c>
    </row>
    <row r="271" customFormat="false" ht="15" hidden="false" customHeight="false" outlineLevel="0" collapsed="false">
      <c r="B271" s="28"/>
      <c r="C271" s="24" t="str">
        <f aca="false">IF(B271="","",DATE(YEAR(B271),MONTH(B271),1))</f>
        <v/>
      </c>
      <c r="N271" s="26" t="str">
        <f aca="false">IF(L271="","",L271*M271)</f>
        <v/>
      </c>
      <c r="P271" s="26" t="str">
        <f aca="false">IF(L271="","",N271-L271*O271)</f>
        <v/>
      </c>
      <c r="T271" s="22" t="str">
        <f aca="false">IF(R271="","",IF(R271&lt;=Q271,"Yes","No"))</f>
        <v/>
      </c>
      <c r="U271" s="22" t="str">
        <f aca="false">IF(B271="","",TEXT(YEAR(B271),"0"))</f>
        <v/>
      </c>
    </row>
    <row r="272" customFormat="false" ht="15" hidden="false" customHeight="false" outlineLevel="0" collapsed="false">
      <c r="B272" s="28"/>
      <c r="C272" s="24" t="str">
        <f aca="false">IF(B272="","",DATE(YEAR(B272),MONTH(B272),1))</f>
        <v/>
      </c>
      <c r="N272" s="26" t="str">
        <f aca="false">IF(L272="","",L272*M272)</f>
        <v/>
      </c>
      <c r="P272" s="26" t="str">
        <f aca="false">IF(L272="","",N272-L272*O272)</f>
        <v/>
      </c>
      <c r="T272" s="22" t="str">
        <f aca="false">IF(R272="","",IF(R272&lt;=Q272,"Yes","No"))</f>
        <v/>
      </c>
      <c r="U272" s="22" t="str">
        <f aca="false">IF(B272="","",TEXT(YEAR(B272),"0"))</f>
        <v/>
      </c>
    </row>
    <row r="273" customFormat="false" ht="15" hidden="false" customHeight="false" outlineLevel="0" collapsed="false">
      <c r="B273" s="28"/>
      <c r="C273" s="24" t="str">
        <f aca="false">IF(B273="","",DATE(YEAR(B273),MONTH(B273),1))</f>
        <v/>
      </c>
      <c r="N273" s="26" t="str">
        <f aca="false">IF(L273="","",L273*M273)</f>
        <v/>
      </c>
      <c r="P273" s="26" t="str">
        <f aca="false">IF(L273="","",N273-L273*O273)</f>
        <v/>
      </c>
      <c r="T273" s="22" t="str">
        <f aca="false">IF(R273="","",IF(R273&lt;=Q273,"Yes","No"))</f>
        <v/>
      </c>
      <c r="U273" s="22" t="str">
        <f aca="false">IF(B273="","",TEXT(YEAR(B273),"0"))</f>
        <v/>
      </c>
    </row>
    <row r="274" customFormat="false" ht="15" hidden="false" customHeight="false" outlineLevel="0" collapsed="false">
      <c r="B274" s="28"/>
      <c r="C274" s="24" t="str">
        <f aca="false">IF(B274="","",DATE(YEAR(B274),MONTH(B274),1))</f>
        <v/>
      </c>
      <c r="N274" s="26" t="str">
        <f aca="false">IF(L274="","",L274*M274)</f>
        <v/>
      </c>
      <c r="P274" s="26" t="str">
        <f aca="false">IF(L274="","",N274-L274*O274)</f>
        <v/>
      </c>
      <c r="T274" s="22" t="str">
        <f aca="false">IF(R274="","",IF(R274&lt;=Q274,"Yes","No"))</f>
        <v/>
      </c>
      <c r="U274" s="22" t="str">
        <f aca="false">IF(B274="","",TEXT(YEAR(B274),"0"))</f>
        <v/>
      </c>
    </row>
    <row r="275" customFormat="false" ht="15" hidden="false" customHeight="false" outlineLevel="0" collapsed="false">
      <c r="B275" s="28"/>
      <c r="C275" s="24" t="str">
        <f aca="false">IF(B275="","",DATE(YEAR(B275),MONTH(B275),1))</f>
        <v/>
      </c>
      <c r="N275" s="26" t="str">
        <f aca="false">IF(L275="","",L275*M275)</f>
        <v/>
      </c>
      <c r="P275" s="26" t="str">
        <f aca="false">IF(L275="","",N275-L275*O275)</f>
        <v/>
      </c>
      <c r="T275" s="22" t="str">
        <f aca="false">IF(R275="","",IF(R275&lt;=Q275,"Yes","No"))</f>
        <v/>
      </c>
      <c r="U275" s="22" t="str">
        <f aca="false">IF(B275="","",TEXT(YEAR(B275),"0"))</f>
        <v/>
      </c>
    </row>
    <row r="276" customFormat="false" ht="15" hidden="false" customHeight="false" outlineLevel="0" collapsed="false">
      <c r="B276" s="28"/>
      <c r="C276" s="24" t="str">
        <f aca="false">IF(B276="","",DATE(YEAR(B276),MONTH(B276),1))</f>
        <v/>
      </c>
      <c r="N276" s="26" t="str">
        <f aca="false">IF(L276="","",L276*M276)</f>
        <v/>
      </c>
      <c r="P276" s="26" t="str">
        <f aca="false">IF(L276="","",N276-L276*O276)</f>
        <v/>
      </c>
      <c r="T276" s="22" t="str">
        <f aca="false">IF(R276="","",IF(R276&lt;=Q276,"Yes","No"))</f>
        <v/>
      </c>
      <c r="U276" s="22" t="str">
        <f aca="false">IF(B276="","",TEXT(YEAR(B276),"0"))</f>
        <v/>
      </c>
    </row>
    <row r="277" customFormat="false" ht="15" hidden="false" customHeight="false" outlineLevel="0" collapsed="false">
      <c r="B277" s="28"/>
      <c r="C277" s="24" t="str">
        <f aca="false">IF(B277="","",DATE(YEAR(B277),MONTH(B277),1))</f>
        <v/>
      </c>
      <c r="N277" s="26" t="str">
        <f aca="false">IF(L277="","",L277*M277)</f>
        <v/>
      </c>
      <c r="P277" s="26" t="str">
        <f aca="false">IF(L277="","",N277-L277*O277)</f>
        <v/>
      </c>
      <c r="T277" s="22" t="str">
        <f aca="false">IF(R277="","",IF(R277&lt;=Q277,"Yes","No"))</f>
        <v/>
      </c>
      <c r="U277" s="22" t="str">
        <f aca="false">IF(B277="","",TEXT(YEAR(B277),"0"))</f>
        <v/>
      </c>
    </row>
    <row r="278" customFormat="false" ht="15" hidden="false" customHeight="false" outlineLevel="0" collapsed="false">
      <c r="B278" s="28"/>
      <c r="C278" s="24" t="str">
        <f aca="false">IF(B278="","",DATE(YEAR(B278),MONTH(B278),1))</f>
        <v/>
      </c>
      <c r="N278" s="26" t="str">
        <f aca="false">IF(L278="","",L278*M278)</f>
        <v/>
      </c>
      <c r="P278" s="26" t="str">
        <f aca="false">IF(L278="","",N278-L278*O278)</f>
        <v/>
      </c>
      <c r="T278" s="22" t="str">
        <f aca="false">IF(R278="","",IF(R278&lt;=Q278,"Yes","No"))</f>
        <v/>
      </c>
      <c r="U278" s="22" t="str">
        <f aca="false">IF(B278="","",TEXT(YEAR(B278),"0"))</f>
        <v/>
      </c>
    </row>
    <row r="279" customFormat="false" ht="15" hidden="false" customHeight="false" outlineLevel="0" collapsed="false">
      <c r="B279" s="28"/>
      <c r="C279" s="24" t="str">
        <f aca="false">IF(B279="","",DATE(YEAR(B279),MONTH(B279),1))</f>
        <v/>
      </c>
      <c r="N279" s="26" t="str">
        <f aca="false">IF(L279="","",L279*M279)</f>
        <v/>
      </c>
      <c r="P279" s="26" t="str">
        <f aca="false">IF(L279="","",N279-L279*O279)</f>
        <v/>
      </c>
      <c r="T279" s="22" t="str">
        <f aca="false">IF(R279="","",IF(R279&lt;=Q279,"Yes","No"))</f>
        <v/>
      </c>
      <c r="U279" s="22" t="str">
        <f aca="false">IF(B279="","",TEXT(YEAR(B279),"0"))</f>
        <v/>
      </c>
    </row>
    <row r="280" customFormat="false" ht="15" hidden="false" customHeight="false" outlineLevel="0" collapsed="false">
      <c r="B280" s="28"/>
      <c r="C280" s="24" t="str">
        <f aca="false">IF(B280="","",DATE(YEAR(B280),MONTH(B280),1))</f>
        <v/>
      </c>
      <c r="N280" s="26" t="str">
        <f aca="false">IF(L280="","",L280*M280)</f>
        <v/>
      </c>
      <c r="P280" s="26" t="str">
        <f aca="false">IF(L280="","",N280-L280*O280)</f>
        <v/>
      </c>
      <c r="T280" s="22" t="str">
        <f aca="false">IF(R280="","",IF(R280&lt;=Q280,"Yes","No"))</f>
        <v/>
      </c>
      <c r="U280" s="22" t="str">
        <f aca="false">IF(B280="","",TEXT(YEAR(B280),"0"))</f>
        <v/>
      </c>
    </row>
    <row r="281" customFormat="false" ht="15" hidden="false" customHeight="false" outlineLevel="0" collapsed="false">
      <c r="B281" s="28"/>
      <c r="C281" s="24" t="str">
        <f aca="false">IF(B281="","",DATE(YEAR(B281),MONTH(B281),1))</f>
        <v/>
      </c>
      <c r="N281" s="26" t="str">
        <f aca="false">IF(L281="","",L281*M281)</f>
        <v/>
      </c>
      <c r="P281" s="26" t="str">
        <f aca="false">IF(L281="","",N281-L281*O281)</f>
        <v/>
      </c>
      <c r="T281" s="22" t="str">
        <f aca="false">IF(R281="","",IF(R281&lt;=Q281,"Yes","No"))</f>
        <v/>
      </c>
      <c r="U281" s="22" t="str">
        <f aca="false">IF(B281="","",TEXT(YEAR(B281),"0"))</f>
        <v/>
      </c>
    </row>
    <row r="282" customFormat="false" ht="15" hidden="false" customHeight="false" outlineLevel="0" collapsed="false">
      <c r="B282" s="28"/>
      <c r="C282" s="24" t="str">
        <f aca="false">IF(B282="","",DATE(YEAR(B282),MONTH(B282),1))</f>
        <v/>
      </c>
      <c r="N282" s="26" t="str">
        <f aca="false">IF(L282="","",L282*M282)</f>
        <v/>
      </c>
      <c r="P282" s="26" t="str">
        <f aca="false">IF(L282="","",N282-L282*O282)</f>
        <v/>
      </c>
      <c r="T282" s="22" t="str">
        <f aca="false">IF(R282="","",IF(R282&lt;=Q282,"Yes","No"))</f>
        <v/>
      </c>
      <c r="U282" s="22" t="str">
        <f aca="false">IF(B282="","",TEXT(YEAR(B282),"0"))</f>
        <v/>
      </c>
    </row>
    <row r="283" customFormat="false" ht="15" hidden="false" customHeight="false" outlineLevel="0" collapsed="false">
      <c r="B283" s="28"/>
      <c r="C283" s="24" t="str">
        <f aca="false">IF(B283="","",DATE(YEAR(B283),MONTH(B283),1))</f>
        <v/>
      </c>
      <c r="N283" s="26" t="str">
        <f aca="false">IF(L283="","",L283*M283)</f>
        <v/>
      </c>
      <c r="P283" s="26" t="str">
        <f aca="false">IF(L283="","",N283-L283*O283)</f>
        <v/>
      </c>
      <c r="T283" s="22" t="str">
        <f aca="false">IF(R283="","",IF(R283&lt;=Q283,"Yes","No"))</f>
        <v/>
      </c>
      <c r="U283" s="22" t="str">
        <f aca="false">IF(B283="","",TEXT(YEAR(B283),"0"))</f>
        <v/>
      </c>
    </row>
    <row r="284" customFormat="false" ht="15" hidden="false" customHeight="false" outlineLevel="0" collapsed="false">
      <c r="B284" s="28"/>
      <c r="C284" s="24" t="str">
        <f aca="false">IF(B284="","",DATE(YEAR(B284),MONTH(B284),1))</f>
        <v/>
      </c>
      <c r="N284" s="26" t="str">
        <f aca="false">IF(L284="","",L284*M284)</f>
        <v/>
      </c>
      <c r="P284" s="26" t="str">
        <f aca="false">IF(L284="","",N284-L284*O284)</f>
        <v/>
      </c>
      <c r="T284" s="22" t="str">
        <f aca="false">IF(R284="","",IF(R284&lt;=Q284,"Yes","No"))</f>
        <v/>
      </c>
      <c r="U284" s="22" t="str">
        <f aca="false">IF(B284="","",TEXT(YEAR(B284),"0"))</f>
        <v/>
      </c>
    </row>
    <row r="285" customFormat="false" ht="15" hidden="false" customHeight="false" outlineLevel="0" collapsed="false">
      <c r="B285" s="28"/>
      <c r="C285" s="24" t="str">
        <f aca="false">IF(B285="","",DATE(YEAR(B285),MONTH(B285),1))</f>
        <v/>
      </c>
      <c r="N285" s="26" t="str">
        <f aca="false">IF(L285="","",L285*M285)</f>
        <v/>
      </c>
      <c r="P285" s="26" t="str">
        <f aca="false">IF(L285="","",N285-L285*O285)</f>
        <v/>
      </c>
      <c r="T285" s="22" t="str">
        <f aca="false">IF(R285="","",IF(R285&lt;=Q285,"Yes","No"))</f>
        <v/>
      </c>
      <c r="U285" s="22" t="str">
        <f aca="false">IF(B285="","",TEXT(YEAR(B285),"0"))</f>
        <v/>
      </c>
    </row>
    <row r="286" customFormat="false" ht="15" hidden="false" customHeight="false" outlineLevel="0" collapsed="false">
      <c r="B286" s="28"/>
      <c r="C286" s="24" t="str">
        <f aca="false">IF(B286="","",DATE(YEAR(B286),MONTH(B286),1))</f>
        <v/>
      </c>
      <c r="N286" s="26" t="str">
        <f aca="false">IF(L286="","",L286*M286)</f>
        <v/>
      </c>
      <c r="P286" s="26" t="str">
        <f aca="false">IF(L286="","",N286-L286*O286)</f>
        <v/>
      </c>
      <c r="T286" s="22" t="str">
        <f aca="false">IF(R286="","",IF(R286&lt;=Q286,"Yes","No"))</f>
        <v/>
      </c>
      <c r="U286" s="22" t="str">
        <f aca="false">IF(B286="","",TEXT(YEAR(B286),"0"))</f>
        <v/>
      </c>
    </row>
    <row r="287" customFormat="false" ht="15" hidden="false" customHeight="false" outlineLevel="0" collapsed="false">
      <c r="B287" s="28"/>
      <c r="C287" s="24" t="str">
        <f aca="false">IF(B287="","",DATE(YEAR(B287),MONTH(B287),1))</f>
        <v/>
      </c>
      <c r="N287" s="26" t="str">
        <f aca="false">IF(L287="","",L287*M287)</f>
        <v/>
      </c>
      <c r="P287" s="26" t="str">
        <f aca="false">IF(L287="","",N287-L287*O287)</f>
        <v/>
      </c>
      <c r="T287" s="22" t="str">
        <f aca="false">IF(R287="","",IF(R287&lt;=Q287,"Yes","No"))</f>
        <v/>
      </c>
      <c r="U287" s="22" t="str">
        <f aca="false">IF(B287="","",TEXT(YEAR(B287),"0"))</f>
        <v/>
      </c>
    </row>
    <row r="288" customFormat="false" ht="15" hidden="false" customHeight="false" outlineLevel="0" collapsed="false">
      <c r="B288" s="28"/>
      <c r="C288" s="24" t="str">
        <f aca="false">IF(B288="","",DATE(YEAR(B288),MONTH(B288),1))</f>
        <v/>
      </c>
      <c r="N288" s="26" t="str">
        <f aca="false">IF(L288="","",L288*M288)</f>
        <v/>
      </c>
      <c r="P288" s="26" t="str">
        <f aca="false">IF(L288="","",N288-L288*O288)</f>
        <v/>
      </c>
      <c r="T288" s="22" t="str">
        <f aca="false">IF(R288="","",IF(R288&lt;=Q288,"Yes","No"))</f>
        <v/>
      </c>
      <c r="U288" s="22" t="str">
        <f aca="false">IF(B288="","",TEXT(YEAR(B288),"0"))</f>
        <v/>
      </c>
    </row>
    <row r="289" customFormat="false" ht="15" hidden="false" customHeight="false" outlineLevel="0" collapsed="false">
      <c r="B289" s="28"/>
      <c r="C289" s="24" t="str">
        <f aca="false">IF(B289="","",DATE(YEAR(B289),MONTH(B289),1))</f>
        <v/>
      </c>
      <c r="N289" s="26" t="str">
        <f aca="false">IF(L289="","",L289*M289)</f>
        <v/>
      </c>
      <c r="P289" s="26" t="str">
        <f aca="false">IF(L289="","",N289-L289*O289)</f>
        <v/>
      </c>
      <c r="T289" s="22" t="str">
        <f aca="false">IF(R289="","",IF(R289&lt;=Q289,"Yes","No"))</f>
        <v/>
      </c>
      <c r="U289" s="22" t="str">
        <f aca="false">IF(B289="","",TEXT(YEAR(B289),"0"))</f>
        <v/>
      </c>
    </row>
    <row r="290" customFormat="false" ht="15" hidden="false" customHeight="false" outlineLevel="0" collapsed="false">
      <c r="B290" s="28"/>
      <c r="C290" s="24" t="str">
        <f aca="false">IF(B290="","",DATE(YEAR(B290),MONTH(B290),1))</f>
        <v/>
      </c>
      <c r="N290" s="26" t="str">
        <f aca="false">IF(L290="","",L290*M290)</f>
        <v/>
      </c>
      <c r="P290" s="26" t="str">
        <f aca="false">IF(L290="","",N290-L290*O290)</f>
        <v/>
      </c>
      <c r="T290" s="22" t="str">
        <f aca="false">IF(R290="","",IF(R290&lt;=Q290,"Yes","No"))</f>
        <v/>
      </c>
      <c r="U290" s="22" t="str">
        <f aca="false">IF(B290="","",TEXT(YEAR(B290),"0"))</f>
        <v/>
      </c>
    </row>
    <row r="291" customFormat="false" ht="15" hidden="false" customHeight="false" outlineLevel="0" collapsed="false">
      <c r="B291" s="28"/>
      <c r="C291" s="24" t="str">
        <f aca="false">IF(B291="","",DATE(YEAR(B291),MONTH(B291),1))</f>
        <v/>
      </c>
      <c r="N291" s="26" t="str">
        <f aca="false">IF(L291="","",L291*M291)</f>
        <v/>
      </c>
      <c r="P291" s="26" t="str">
        <f aca="false">IF(L291="","",N291-L291*O291)</f>
        <v/>
      </c>
      <c r="T291" s="22" t="str">
        <f aca="false">IF(R291="","",IF(R291&lt;=Q291,"Yes","No"))</f>
        <v/>
      </c>
      <c r="U291" s="22" t="str">
        <f aca="false">IF(B291="","",TEXT(YEAR(B291),"0"))</f>
        <v/>
      </c>
    </row>
    <row r="292" customFormat="false" ht="15" hidden="false" customHeight="false" outlineLevel="0" collapsed="false">
      <c r="B292" s="28"/>
      <c r="C292" s="24" t="str">
        <f aca="false">IF(B292="","",DATE(YEAR(B292),MONTH(B292),1))</f>
        <v/>
      </c>
      <c r="N292" s="26" t="str">
        <f aca="false">IF(L292="","",L292*M292)</f>
        <v/>
      </c>
      <c r="P292" s="26" t="str">
        <f aca="false">IF(L292="","",N292-L292*O292)</f>
        <v/>
      </c>
      <c r="T292" s="22" t="str">
        <f aca="false">IF(R292="","",IF(R292&lt;=Q292,"Yes","No"))</f>
        <v/>
      </c>
      <c r="U292" s="22" t="str">
        <f aca="false">IF(B292="","",TEXT(YEAR(B292),"0"))</f>
        <v/>
      </c>
    </row>
    <row r="293" customFormat="false" ht="15" hidden="false" customHeight="false" outlineLevel="0" collapsed="false">
      <c r="B293" s="28"/>
      <c r="C293" s="24" t="str">
        <f aca="false">IF(B293="","",DATE(YEAR(B293),MONTH(B293),1))</f>
        <v/>
      </c>
      <c r="N293" s="26" t="str">
        <f aca="false">IF(L293="","",L293*M293)</f>
        <v/>
      </c>
      <c r="P293" s="26" t="str">
        <f aca="false">IF(L293="","",N293-L293*O293)</f>
        <v/>
      </c>
      <c r="T293" s="22" t="str">
        <f aca="false">IF(R293="","",IF(R293&lt;=Q293,"Yes","No"))</f>
        <v/>
      </c>
      <c r="U293" s="22" t="str">
        <f aca="false">IF(B293="","",TEXT(YEAR(B293),"0"))</f>
        <v/>
      </c>
    </row>
    <row r="294" customFormat="false" ht="15" hidden="false" customHeight="false" outlineLevel="0" collapsed="false">
      <c r="B294" s="28"/>
      <c r="C294" s="24" t="str">
        <f aca="false">IF(B294="","",DATE(YEAR(B294),MONTH(B294),1))</f>
        <v/>
      </c>
      <c r="N294" s="26" t="str">
        <f aca="false">IF(L294="","",L294*M294)</f>
        <v/>
      </c>
      <c r="P294" s="26" t="str">
        <f aca="false">IF(L294="","",N294-L294*O294)</f>
        <v/>
      </c>
      <c r="T294" s="22" t="str">
        <f aca="false">IF(R294="","",IF(R294&lt;=Q294,"Yes","No"))</f>
        <v/>
      </c>
      <c r="U294" s="22" t="str">
        <f aca="false">IF(B294="","",TEXT(YEAR(B294),"0"))</f>
        <v/>
      </c>
    </row>
    <row r="295" customFormat="false" ht="15" hidden="false" customHeight="false" outlineLevel="0" collapsed="false">
      <c r="B295" s="28"/>
      <c r="C295" s="24" t="str">
        <f aca="false">IF(B295="","",DATE(YEAR(B295),MONTH(B295),1))</f>
        <v/>
      </c>
      <c r="N295" s="26" t="str">
        <f aca="false">IF(L295="","",L295*M295)</f>
        <v/>
      </c>
      <c r="P295" s="26" t="str">
        <f aca="false">IF(L295="","",N295-L295*O295)</f>
        <v/>
      </c>
      <c r="T295" s="22" t="str">
        <f aca="false">IF(R295="","",IF(R295&lt;=Q295,"Yes","No"))</f>
        <v/>
      </c>
      <c r="U295" s="22" t="str">
        <f aca="false">IF(B295="","",TEXT(YEAR(B295),"0"))</f>
        <v/>
      </c>
    </row>
    <row r="296" customFormat="false" ht="15" hidden="false" customHeight="false" outlineLevel="0" collapsed="false">
      <c r="B296" s="28"/>
      <c r="C296" s="24" t="str">
        <f aca="false">IF(B296="","",DATE(YEAR(B296),MONTH(B296),1))</f>
        <v/>
      </c>
      <c r="N296" s="26" t="str">
        <f aca="false">IF(L296="","",L296*M296)</f>
        <v/>
      </c>
      <c r="P296" s="26" t="str">
        <f aca="false">IF(L296="","",N296-L296*O296)</f>
        <v/>
      </c>
      <c r="T296" s="22" t="str">
        <f aca="false">IF(R296="","",IF(R296&lt;=Q296,"Yes","No"))</f>
        <v/>
      </c>
      <c r="U296" s="22" t="str">
        <f aca="false">IF(B296="","",TEXT(YEAR(B296),"0"))</f>
        <v/>
      </c>
    </row>
    <row r="297" customFormat="false" ht="15" hidden="false" customHeight="false" outlineLevel="0" collapsed="false">
      <c r="B297" s="28"/>
      <c r="C297" s="24" t="str">
        <f aca="false">IF(B297="","",DATE(YEAR(B297),MONTH(B297),1))</f>
        <v/>
      </c>
      <c r="N297" s="26" t="str">
        <f aca="false">IF(L297="","",L297*M297)</f>
        <v/>
      </c>
      <c r="P297" s="26" t="str">
        <f aca="false">IF(L297="","",N297-L297*O297)</f>
        <v/>
      </c>
      <c r="T297" s="22" t="str">
        <f aca="false">IF(R297="","",IF(R297&lt;=Q297,"Yes","No"))</f>
        <v/>
      </c>
      <c r="U297" s="22" t="str">
        <f aca="false">IF(B297="","",TEXT(YEAR(B297),"0"))</f>
        <v/>
      </c>
    </row>
    <row r="298" customFormat="false" ht="15" hidden="false" customHeight="false" outlineLevel="0" collapsed="false">
      <c r="B298" s="28"/>
      <c r="C298" s="24" t="str">
        <f aca="false">IF(B298="","",DATE(YEAR(B298),MONTH(B298),1))</f>
        <v/>
      </c>
      <c r="N298" s="26" t="str">
        <f aca="false">IF(L298="","",L298*M298)</f>
        <v/>
      </c>
      <c r="P298" s="26" t="str">
        <f aca="false">IF(L298="","",N298-L298*O298)</f>
        <v/>
      </c>
      <c r="T298" s="22" t="str">
        <f aca="false">IF(R298="","",IF(R298&lt;=Q298,"Yes","No"))</f>
        <v/>
      </c>
      <c r="U298" s="22" t="str">
        <f aca="false">IF(B298="","",TEXT(YEAR(B298),"0"))</f>
        <v/>
      </c>
    </row>
    <row r="299" customFormat="false" ht="15" hidden="false" customHeight="false" outlineLevel="0" collapsed="false">
      <c r="B299" s="28"/>
      <c r="C299" s="24" t="str">
        <f aca="false">IF(B299="","",DATE(YEAR(B299),MONTH(B299),1))</f>
        <v/>
      </c>
      <c r="N299" s="26" t="str">
        <f aca="false">IF(L299="","",L299*M299)</f>
        <v/>
      </c>
      <c r="P299" s="26" t="str">
        <f aca="false">IF(L299="","",N299-L299*O299)</f>
        <v/>
      </c>
      <c r="T299" s="22" t="str">
        <f aca="false">IF(R299="","",IF(R299&lt;=Q299,"Yes","No"))</f>
        <v/>
      </c>
      <c r="U299" s="22" t="str">
        <f aca="false">IF(B299="","",TEXT(YEAR(B299),"0"))</f>
        <v/>
      </c>
    </row>
    <row r="300" customFormat="false" ht="15" hidden="false" customHeight="false" outlineLevel="0" collapsed="false">
      <c r="B300" s="28"/>
      <c r="C300" s="24" t="str">
        <f aca="false">IF(B300="","",DATE(YEAR(B300),MONTH(B300),1))</f>
        <v/>
      </c>
      <c r="N300" s="26" t="str">
        <f aca="false">IF(L300="","",L300*M300)</f>
        <v/>
      </c>
      <c r="P300" s="26" t="str">
        <f aca="false">IF(L300="","",N300-L300*O300)</f>
        <v/>
      </c>
      <c r="T300" s="22" t="str">
        <f aca="false">IF(R300="","",IF(R300&lt;=Q300,"Yes","No"))</f>
        <v/>
      </c>
      <c r="U300" s="22" t="str">
        <f aca="false">IF(B300="","",TEXT(YEAR(B300),"0"))</f>
        <v/>
      </c>
    </row>
    <row r="301" customFormat="false" ht="15" hidden="false" customHeight="false" outlineLevel="0" collapsed="false">
      <c r="B301" s="28"/>
      <c r="C301" s="24" t="str">
        <f aca="false">IF(B301="","",DATE(YEAR(B301),MONTH(B301),1))</f>
        <v/>
      </c>
      <c r="N301" s="26" t="str">
        <f aca="false">IF(L301="","",L301*M301)</f>
        <v/>
      </c>
      <c r="P301" s="26" t="str">
        <f aca="false">IF(L301="","",N301-L301*O301)</f>
        <v/>
      </c>
      <c r="T301" s="22" t="str">
        <f aca="false">IF(R301="","",IF(R301&lt;=Q301,"Yes","No"))</f>
        <v/>
      </c>
      <c r="U301" s="22" t="str">
        <f aca="false">IF(B301="","",TEXT(YEAR(B301),"0"))</f>
        <v/>
      </c>
    </row>
    <row r="302" customFormat="false" ht="15" hidden="false" customHeight="false" outlineLevel="0" collapsed="false">
      <c r="B302" s="28"/>
      <c r="C302" s="24" t="str">
        <f aca="false">IF(B302="","",DATE(YEAR(B302),MONTH(B302),1))</f>
        <v/>
      </c>
      <c r="N302" s="26" t="str">
        <f aca="false">IF(L302="","",L302*M302)</f>
        <v/>
      </c>
      <c r="P302" s="26" t="str">
        <f aca="false">IF(L302="","",N302-L302*O302)</f>
        <v/>
      </c>
      <c r="T302" s="22" t="str">
        <f aca="false">IF(R302="","",IF(R302&lt;=Q302,"Yes","No"))</f>
        <v/>
      </c>
      <c r="U302" s="22" t="str">
        <f aca="false">IF(B302="","",TEXT(YEAR(B302),"0"))</f>
        <v/>
      </c>
    </row>
    <row r="303" customFormat="false" ht="15" hidden="false" customHeight="false" outlineLevel="0" collapsed="false">
      <c r="B303" s="28"/>
      <c r="C303" s="24" t="str">
        <f aca="false">IF(B303="","",DATE(YEAR(B303),MONTH(B303),1))</f>
        <v/>
      </c>
      <c r="N303" s="26" t="str">
        <f aca="false">IF(L303="","",L303*M303)</f>
        <v/>
      </c>
      <c r="P303" s="26" t="str">
        <f aca="false">IF(L303="","",N303-L303*O303)</f>
        <v/>
      </c>
      <c r="T303" s="22" t="str">
        <f aca="false">IF(R303="","",IF(R303&lt;=Q303,"Yes","No"))</f>
        <v/>
      </c>
      <c r="U303" s="22" t="str">
        <f aca="false">IF(B303="","",TEXT(YEAR(B303),"0"))</f>
        <v/>
      </c>
    </row>
    <row r="304" customFormat="false" ht="15" hidden="false" customHeight="false" outlineLevel="0" collapsed="false">
      <c r="B304" s="28"/>
      <c r="C304" s="24" t="str">
        <f aca="false">IF(B304="","",DATE(YEAR(B304),MONTH(B304),1))</f>
        <v/>
      </c>
      <c r="N304" s="26" t="str">
        <f aca="false">IF(L304="","",L304*M304)</f>
        <v/>
      </c>
      <c r="P304" s="26" t="str">
        <f aca="false">IF(L304="","",N304-L304*O304)</f>
        <v/>
      </c>
      <c r="T304" s="22" t="str">
        <f aca="false">IF(R304="","",IF(R304&lt;=Q304,"Yes","No"))</f>
        <v/>
      </c>
      <c r="U304" s="22" t="str">
        <f aca="false">IF(B304="","",TEXT(YEAR(B304),"0"))</f>
        <v/>
      </c>
    </row>
    <row r="305" customFormat="false" ht="15" hidden="false" customHeight="false" outlineLevel="0" collapsed="false">
      <c r="B305" s="28"/>
      <c r="C305" s="24" t="str">
        <f aca="false">IF(B305="","",DATE(YEAR(B305),MONTH(B305),1))</f>
        <v/>
      </c>
      <c r="N305" s="26" t="str">
        <f aca="false">IF(L305="","",L305*M305)</f>
        <v/>
      </c>
      <c r="P305" s="26" t="str">
        <f aca="false">IF(L305="","",N305-L305*O305)</f>
        <v/>
      </c>
      <c r="T305" s="22" t="str">
        <f aca="false">IF(R305="","",IF(R305&lt;=Q305,"Yes","No"))</f>
        <v/>
      </c>
      <c r="U305" s="22" t="str">
        <f aca="false">IF(B305="","",TEXT(YEAR(B305),"0"))</f>
        <v/>
      </c>
    </row>
    <row r="306" customFormat="false" ht="15" hidden="false" customHeight="false" outlineLevel="0" collapsed="false">
      <c r="B306" s="28"/>
      <c r="C306" s="24" t="str">
        <f aca="false">IF(B306="","",DATE(YEAR(B306),MONTH(B306),1))</f>
        <v/>
      </c>
      <c r="N306" s="26" t="str">
        <f aca="false">IF(L306="","",L306*M306)</f>
        <v/>
      </c>
      <c r="P306" s="26" t="str">
        <f aca="false">IF(L306="","",N306-L306*O306)</f>
        <v/>
      </c>
      <c r="T306" s="22" t="str">
        <f aca="false">IF(R306="","",IF(R306&lt;=Q306,"Yes","No"))</f>
        <v/>
      </c>
      <c r="U306" s="22" t="str">
        <f aca="false">IF(B306="","",TEXT(YEAR(B306),"0"))</f>
        <v/>
      </c>
    </row>
    <row r="307" customFormat="false" ht="15" hidden="false" customHeight="false" outlineLevel="0" collapsed="false">
      <c r="B307" s="28"/>
      <c r="C307" s="24" t="str">
        <f aca="false">IF(B307="","",DATE(YEAR(B307),MONTH(B307),1))</f>
        <v/>
      </c>
      <c r="N307" s="26" t="str">
        <f aca="false">IF(L307="","",L307*M307)</f>
        <v/>
      </c>
      <c r="P307" s="26" t="str">
        <f aca="false">IF(L307="","",N307-L307*O307)</f>
        <v/>
      </c>
      <c r="T307" s="22" t="str">
        <f aca="false">IF(R307="","",IF(R307&lt;=Q307,"Yes","No"))</f>
        <v/>
      </c>
      <c r="U307" s="22" t="str">
        <f aca="false">IF(B307="","",TEXT(YEAR(B307),"0"))</f>
        <v/>
      </c>
    </row>
    <row r="308" customFormat="false" ht="15" hidden="false" customHeight="false" outlineLevel="0" collapsed="false">
      <c r="B308" s="28"/>
      <c r="C308" s="24" t="str">
        <f aca="false">IF(B308="","",DATE(YEAR(B308),MONTH(B308),1))</f>
        <v/>
      </c>
      <c r="N308" s="26" t="str">
        <f aca="false">IF(L308="","",L308*M308)</f>
        <v/>
      </c>
      <c r="P308" s="26" t="str">
        <f aca="false">IF(L308="","",N308-L308*O308)</f>
        <v/>
      </c>
      <c r="T308" s="22" t="str">
        <f aca="false">IF(R308="","",IF(R308&lt;=Q308,"Yes","No"))</f>
        <v/>
      </c>
      <c r="U308" s="22" t="str">
        <f aca="false">IF(B308="","",TEXT(YEAR(B308),"0"))</f>
        <v/>
      </c>
    </row>
    <row r="309" customFormat="false" ht="15" hidden="false" customHeight="false" outlineLevel="0" collapsed="false">
      <c r="B309" s="28"/>
      <c r="C309" s="24" t="str">
        <f aca="false">IF(B309="","",DATE(YEAR(B309),MONTH(B309),1))</f>
        <v/>
      </c>
      <c r="N309" s="26" t="str">
        <f aca="false">IF(L309="","",L309*M309)</f>
        <v/>
      </c>
      <c r="P309" s="26" t="str">
        <f aca="false">IF(L309="","",N309-L309*O309)</f>
        <v/>
      </c>
      <c r="T309" s="22" t="str">
        <f aca="false">IF(R309="","",IF(R309&lt;=Q309,"Yes","No"))</f>
        <v/>
      </c>
      <c r="U309" s="22" t="str">
        <f aca="false">IF(B309="","",TEXT(YEAR(B309),"0"))</f>
        <v/>
      </c>
    </row>
    <row r="310" customFormat="false" ht="15" hidden="false" customHeight="false" outlineLevel="0" collapsed="false">
      <c r="B310" s="28"/>
      <c r="C310" s="24" t="str">
        <f aca="false">IF(B310="","",DATE(YEAR(B310),MONTH(B310),1))</f>
        <v/>
      </c>
      <c r="N310" s="26" t="str">
        <f aca="false">IF(L310="","",L310*M310)</f>
        <v/>
      </c>
      <c r="P310" s="26" t="str">
        <f aca="false">IF(L310="","",N310-L310*O310)</f>
        <v/>
      </c>
      <c r="T310" s="22" t="str">
        <f aca="false">IF(R310="","",IF(R310&lt;=Q310,"Yes","No"))</f>
        <v/>
      </c>
      <c r="U310" s="22" t="str">
        <f aca="false">IF(B310="","",TEXT(YEAR(B310),"0"))</f>
        <v/>
      </c>
    </row>
    <row r="311" customFormat="false" ht="15" hidden="false" customHeight="false" outlineLevel="0" collapsed="false">
      <c r="B311" s="28"/>
      <c r="C311" s="24" t="str">
        <f aca="false">IF(B311="","",DATE(YEAR(B311),MONTH(B311),1))</f>
        <v/>
      </c>
      <c r="N311" s="26" t="str">
        <f aca="false">IF(L311="","",L311*M311)</f>
        <v/>
      </c>
      <c r="P311" s="26" t="str">
        <f aca="false">IF(L311="","",N311-L311*O311)</f>
        <v/>
      </c>
      <c r="T311" s="22" t="str">
        <f aca="false">IF(R311="","",IF(R311&lt;=Q311,"Yes","No"))</f>
        <v/>
      </c>
      <c r="U311" s="22" t="str">
        <f aca="false">IF(B311="","",TEXT(YEAR(B311),"0"))</f>
        <v/>
      </c>
    </row>
    <row r="312" customFormat="false" ht="15" hidden="false" customHeight="false" outlineLevel="0" collapsed="false">
      <c r="B312" s="28"/>
      <c r="C312" s="24" t="str">
        <f aca="false">IF(B312="","",DATE(YEAR(B312),MONTH(B312),1))</f>
        <v/>
      </c>
      <c r="N312" s="26" t="str">
        <f aca="false">IF(L312="","",L312*M312)</f>
        <v/>
      </c>
      <c r="P312" s="26" t="str">
        <f aca="false">IF(L312="","",N312-L312*O312)</f>
        <v/>
      </c>
      <c r="T312" s="22" t="str">
        <f aca="false">IF(R312="","",IF(R312&lt;=Q312,"Yes","No"))</f>
        <v/>
      </c>
      <c r="U312" s="22" t="str">
        <f aca="false">IF(B312="","",TEXT(YEAR(B312),"0"))</f>
        <v/>
      </c>
    </row>
    <row r="313" customFormat="false" ht="15" hidden="false" customHeight="false" outlineLevel="0" collapsed="false">
      <c r="B313" s="28"/>
      <c r="C313" s="24" t="str">
        <f aca="false">IF(B313="","",DATE(YEAR(B313),MONTH(B313),1))</f>
        <v/>
      </c>
      <c r="N313" s="26" t="str">
        <f aca="false">IF(L313="","",L313*M313)</f>
        <v/>
      </c>
      <c r="P313" s="26" t="str">
        <f aca="false">IF(L313="","",N313-L313*O313)</f>
        <v/>
      </c>
      <c r="T313" s="22" t="str">
        <f aca="false">IF(R313="","",IF(R313&lt;=Q313,"Yes","No"))</f>
        <v/>
      </c>
      <c r="U313" s="22" t="str">
        <f aca="false">IF(B313="","",TEXT(YEAR(B313),"0"))</f>
        <v/>
      </c>
    </row>
    <row r="314" customFormat="false" ht="15" hidden="false" customHeight="false" outlineLevel="0" collapsed="false">
      <c r="B314" s="28"/>
      <c r="C314" s="24" t="str">
        <f aca="false">IF(B314="","",DATE(YEAR(B314),MONTH(B314),1))</f>
        <v/>
      </c>
      <c r="N314" s="26" t="str">
        <f aca="false">IF(L314="","",L314*M314)</f>
        <v/>
      </c>
      <c r="P314" s="26" t="str">
        <f aca="false">IF(L314="","",N314-L314*O314)</f>
        <v/>
      </c>
      <c r="T314" s="22" t="str">
        <f aca="false">IF(R314="","",IF(R314&lt;=Q314,"Yes","No"))</f>
        <v/>
      </c>
      <c r="U314" s="22" t="str">
        <f aca="false">IF(B314="","",TEXT(YEAR(B314),"0"))</f>
        <v/>
      </c>
    </row>
    <row r="315" customFormat="false" ht="15" hidden="false" customHeight="false" outlineLevel="0" collapsed="false">
      <c r="B315" s="28"/>
      <c r="C315" s="24" t="str">
        <f aca="false">IF(B315="","",DATE(YEAR(B315),MONTH(B315),1))</f>
        <v/>
      </c>
      <c r="N315" s="26" t="str">
        <f aca="false">IF(L315="","",L315*M315)</f>
        <v/>
      </c>
      <c r="P315" s="26" t="str">
        <f aca="false">IF(L315="","",N315-L315*O315)</f>
        <v/>
      </c>
      <c r="T315" s="22" t="str">
        <f aca="false">IF(R315="","",IF(R315&lt;=Q315,"Yes","No"))</f>
        <v/>
      </c>
      <c r="U315" s="22" t="str">
        <f aca="false">IF(B315="","",TEXT(YEAR(B315),"0"))</f>
        <v/>
      </c>
    </row>
    <row r="316" customFormat="false" ht="15" hidden="false" customHeight="false" outlineLevel="0" collapsed="false">
      <c r="B316" s="28"/>
      <c r="C316" s="24" t="str">
        <f aca="false">IF(B316="","",DATE(YEAR(B316),MONTH(B316),1))</f>
        <v/>
      </c>
      <c r="N316" s="26" t="str">
        <f aca="false">IF(L316="","",L316*M316)</f>
        <v/>
      </c>
      <c r="P316" s="26" t="str">
        <f aca="false">IF(L316="","",N316-L316*O316)</f>
        <v/>
      </c>
      <c r="T316" s="22" t="str">
        <f aca="false">IF(R316="","",IF(R316&lt;=Q316,"Yes","No"))</f>
        <v/>
      </c>
      <c r="U316" s="22" t="str">
        <f aca="false">IF(B316="","",TEXT(YEAR(B316),"0"))</f>
        <v/>
      </c>
    </row>
    <row r="317" customFormat="false" ht="15" hidden="false" customHeight="false" outlineLevel="0" collapsed="false">
      <c r="B317" s="28"/>
      <c r="C317" s="24" t="str">
        <f aca="false">IF(B317="","",DATE(YEAR(B317),MONTH(B317),1))</f>
        <v/>
      </c>
      <c r="N317" s="26" t="str">
        <f aca="false">IF(L317="","",L317*M317)</f>
        <v/>
      </c>
      <c r="P317" s="26" t="str">
        <f aca="false">IF(L317="","",N317-L317*O317)</f>
        <v/>
      </c>
      <c r="T317" s="22" t="str">
        <f aca="false">IF(R317="","",IF(R317&lt;=Q317,"Yes","No"))</f>
        <v/>
      </c>
      <c r="U317" s="22" t="str">
        <f aca="false">IF(B317="","",TEXT(YEAR(B317),"0"))</f>
        <v/>
      </c>
    </row>
    <row r="318" customFormat="false" ht="15" hidden="false" customHeight="false" outlineLevel="0" collapsed="false">
      <c r="B318" s="28"/>
      <c r="C318" s="24" t="str">
        <f aca="false">IF(B318="","",DATE(YEAR(B318),MONTH(B318),1))</f>
        <v/>
      </c>
      <c r="N318" s="26" t="str">
        <f aca="false">IF(L318="","",L318*M318)</f>
        <v/>
      </c>
      <c r="P318" s="26" t="str">
        <f aca="false">IF(L318="","",N318-L318*O318)</f>
        <v/>
      </c>
      <c r="T318" s="22" t="str">
        <f aca="false">IF(R318="","",IF(R318&lt;=Q318,"Yes","No"))</f>
        <v/>
      </c>
      <c r="U318" s="22" t="str">
        <f aca="false">IF(B318="","",TEXT(YEAR(B318),"0"))</f>
        <v/>
      </c>
    </row>
    <row r="319" customFormat="false" ht="15" hidden="false" customHeight="false" outlineLevel="0" collapsed="false">
      <c r="B319" s="28"/>
      <c r="C319" s="24" t="str">
        <f aca="false">IF(B319="","",DATE(YEAR(B319),MONTH(B319),1))</f>
        <v/>
      </c>
      <c r="N319" s="26" t="str">
        <f aca="false">IF(L319="","",L319*M319)</f>
        <v/>
      </c>
      <c r="P319" s="26" t="str">
        <f aca="false">IF(L319="","",N319-L319*O319)</f>
        <v/>
      </c>
      <c r="T319" s="22" t="str">
        <f aca="false">IF(R319="","",IF(R319&lt;=Q319,"Yes","No"))</f>
        <v/>
      </c>
      <c r="U319" s="22" t="str">
        <f aca="false">IF(B319="","",TEXT(YEAR(B319),"0"))</f>
        <v/>
      </c>
    </row>
    <row r="320" customFormat="false" ht="15" hidden="false" customHeight="false" outlineLevel="0" collapsed="false">
      <c r="B320" s="28"/>
      <c r="C320" s="24" t="str">
        <f aca="false">IF(B320="","",DATE(YEAR(B320),MONTH(B320),1))</f>
        <v/>
      </c>
      <c r="N320" s="26" t="str">
        <f aca="false">IF(L320="","",L320*M320)</f>
        <v/>
      </c>
      <c r="P320" s="26" t="str">
        <f aca="false">IF(L320="","",N320-L320*O320)</f>
        <v/>
      </c>
      <c r="T320" s="22" t="str">
        <f aca="false">IF(R320="","",IF(R320&lt;=Q320,"Yes","No"))</f>
        <v/>
      </c>
      <c r="U320" s="22" t="str">
        <f aca="false">IF(B320="","",TEXT(YEAR(B320),"0"))</f>
        <v/>
      </c>
    </row>
    <row r="321" customFormat="false" ht="15" hidden="false" customHeight="false" outlineLevel="0" collapsed="false">
      <c r="B321" s="28"/>
      <c r="C321" s="24" t="str">
        <f aca="false">IF(B321="","",DATE(YEAR(B321),MONTH(B321),1))</f>
        <v/>
      </c>
      <c r="N321" s="26" t="str">
        <f aca="false">IF(L321="","",L321*M321)</f>
        <v/>
      </c>
      <c r="P321" s="26" t="str">
        <f aca="false">IF(L321="","",N321-L321*O321)</f>
        <v/>
      </c>
      <c r="T321" s="22" t="str">
        <f aca="false">IF(R321="","",IF(R321&lt;=Q321,"Yes","No"))</f>
        <v/>
      </c>
      <c r="U321" s="22" t="str">
        <f aca="false">IF(B321="","",TEXT(YEAR(B321),"0"))</f>
        <v/>
      </c>
    </row>
    <row r="322" customFormat="false" ht="15" hidden="false" customHeight="false" outlineLevel="0" collapsed="false">
      <c r="B322" s="28"/>
      <c r="C322" s="24" t="str">
        <f aca="false">IF(B322="","",DATE(YEAR(B322),MONTH(B322),1))</f>
        <v/>
      </c>
      <c r="N322" s="26" t="str">
        <f aca="false">IF(L322="","",L322*M322)</f>
        <v/>
      </c>
      <c r="P322" s="26" t="str">
        <f aca="false">IF(L322="","",N322-L322*O322)</f>
        <v/>
      </c>
      <c r="T322" s="22" t="str">
        <f aca="false">IF(R322="","",IF(R322&lt;=Q322,"Yes","No"))</f>
        <v/>
      </c>
      <c r="U322" s="22" t="str">
        <f aca="false">IF(B322="","",TEXT(YEAR(B322),"0"))</f>
        <v/>
      </c>
    </row>
    <row r="323" customFormat="false" ht="15" hidden="false" customHeight="false" outlineLevel="0" collapsed="false">
      <c r="B323" s="28"/>
      <c r="C323" s="24" t="str">
        <f aca="false">IF(B323="","",DATE(YEAR(B323),MONTH(B323),1))</f>
        <v/>
      </c>
      <c r="N323" s="26" t="str">
        <f aca="false">IF(L323="","",L323*M323)</f>
        <v/>
      </c>
      <c r="P323" s="26" t="str">
        <f aca="false">IF(L323="","",N323-L323*O323)</f>
        <v/>
      </c>
      <c r="T323" s="22" t="str">
        <f aca="false">IF(R323="","",IF(R323&lt;=Q323,"Yes","No"))</f>
        <v/>
      </c>
      <c r="U323" s="22" t="str">
        <f aca="false">IF(B323="","",TEXT(YEAR(B323),"0"))</f>
        <v/>
      </c>
    </row>
    <row r="324" customFormat="false" ht="15" hidden="false" customHeight="false" outlineLevel="0" collapsed="false">
      <c r="B324" s="28"/>
      <c r="C324" s="24" t="str">
        <f aca="false">IF(B324="","",DATE(YEAR(B324),MONTH(B324),1))</f>
        <v/>
      </c>
      <c r="N324" s="26" t="str">
        <f aca="false">IF(L324="","",L324*M324)</f>
        <v/>
      </c>
      <c r="P324" s="26" t="str">
        <f aca="false">IF(L324="","",N324-L324*O324)</f>
        <v/>
      </c>
      <c r="T324" s="22" t="str">
        <f aca="false">IF(R324="","",IF(R324&lt;=Q324,"Yes","No"))</f>
        <v/>
      </c>
      <c r="U324" s="22" t="str">
        <f aca="false">IF(B324="","",TEXT(YEAR(B324),"0"))</f>
        <v/>
      </c>
    </row>
    <row r="325" customFormat="false" ht="15" hidden="false" customHeight="false" outlineLevel="0" collapsed="false">
      <c r="B325" s="28"/>
      <c r="C325" s="24" t="str">
        <f aca="false">IF(B325="","",DATE(YEAR(B325),MONTH(B325),1))</f>
        <v/>
      </c>
      <c r="N325" s="26" t="str">
        <f aca="false">IF(L325="","",L325*M325)</f>
        <v/>
      </c>
      <c r="P325" s="26" t="str">
        <f aca="false">IF(L325="","",N325-L325*O325)</f>
        <v/>
      </c>
      <c r="T325" s="22" t="str">
        <f aca="false">IF(R325="","",IF(R325&lt;=Q325,"Yes","No"))</f>
        <v/>
      </c>
      <c r="U325" s="22" t="str">
        <f aca="false">IF(B325="","",TEXT(YEAR(B325),"0"))</f>
        <v/>
      </c>
    </row>
    <row r="326" customFormat="false" ht="15" hidden="false" customHeight="false" outlineLevel="0" collapsed="false">
      <c r="B326" s="28"/>
      <c r="C326" s="24" t="str">
        <f aca="false">IF(B326="","",DATE(YEAR(B326),MONTH(B326),1))</f>
        <v/>
      </c>
      <c r="N326" s="26" t="str">
        <f aca="false">IF(L326="","",L326*M326)</f>
        <v/>
      </c>
      <c r="P326" s="26" t="str">
        <f aca="false">IF(L326="","",N326-L326*O326)</f>
        <v/>
      </c>
      <c r="T326" s="22" t="str">
        <f aca="false">IF(R326="","",IF(R326&lt;=Q326,"Yes","No"))</f>
        <v/>
      </c>
      <c r="U326" s="22" t="str">
        <f aca="false">IF(B326="","",TEXT(YEAR(B326),"0"))</f>
        <v/>
      </c>
    </row>
    <row r="327" customFormat="false" ht="15" hidden="false" customHeight="false" outlineLevel="0" collapsed="false">
      <c r="B327" s="28"/>
      <c r="C327" s="24" t="str">
        <f aca="false">IF(B327="","",DATE(YEAR(B327),MONTH(B327),1))</f>
        <v/>
      </c>
      <c r="N327" s="26" t="str">
        <f aca="false">IF(L327="","",L327*M327)</f>
        <v/>
      </c>
      <c r="P327" s="26" t="str">
        <f aca="false">IF(L327="","",N327-L327*O327)</f>
        <v/>
      </c>
      <c r="T327" s="22" t="str">
        <f aca="false">IF(R327="","",IF(R327&lt;=Q327,"Yes","No"))</f>
        <v/>
      </c>
      <c r="U327" s="22" t="str">
        <f aca="false">IF(B327="","",TEXT(YEAR(B327),"0"))</f>
        <v/>
      </c>
    </row>
    <row r="328" customFormat="false" ht="15" hidden="false" customHeight="false" outlineLevel="0" collapsed="false">
      <c r="B328" s="28"/>
      <c r="C328" s="24" t="str">
        <f aca="false">IF(B328="","",DATE(YEAR(B328),MONTH(B328),1))</f>
        <v/>
      </c>
      <c r="N328" s="26" t="str">
        <f aca="false">IF(L328="","",L328*M328)</f>
        <v/>
      </c>
      <c r="P328" s="26" t="str">
        <f aca="false">IF(L328="","",N328-L328*O328)</f>
        <v/>
      </c>
      <c r="T328" s="22" t="str">
        <f aca="false">IF(R328="","",IF(R328&lt;=Q328,"Yes","No"))</f>
        <v/>
      </c>
      <c r="U328" s="22" t="str">
        <f aca="false">IF(B328="","",TEXT(YEAR(B328),"0"))</f>
        <v/>
      </c>
    </row>
    <row r="329" customFormat="false" ht="15" hidden="false" customHeight="false" outlineLevel="0" collapsed="false">
      <c r="B329" s="28"/>
      <c r="C329" s="24" t="str">
        <f aca="false">IF(B329="","",DATE(YEAR(B329),MONTH(B329),1))</f>
        <v/>
      </c>
      <c r="N329" s="26" t="str">
        <f aca="false">IF(L329="","",L329*M329)</f>
        <v/>
      </c>
      <c r="P329" s="26" t="str">
        <f aca="false">IF(L329="","",N329-L329*O329)</f>
        <v/>
      </c>
      <c r="T329" s="22" t="str">
        <f aca="false">IF(R329="","",IF(R329&lt;=Q329,"Yes","No"))</f>
        <v/>
      </c>
      <c r="U329" s="22" t="str">
        <f aca="false">IF(B329="","",TEXT(YEAR(B329),"0"))</f>
        <v/>
      </c>
    </row>
    <row r="330" customFormat="false" ht="15" hidden="false" customHeight="false" outlineLevel="0" collapsed="false">
      <c r="B330" s="28"/>
      <c r="C330" s="24" t="str">
        <f aca="false">IF(B330="","",DATE(YEAR(B330),MONTH(B330),1))</f>
        <v/>
      </c>
      <c r="N330" s="26" t="str">
        <f aca="false">IF(L330="","",L330*M330)</f>
        <v/>
      </c>
      <c r="P330" s="26" t="str">
        <f aca="false">IF(L330="","",N330-L330*O330)</f>
        <v/>
      </c>
      <c r="T330" s="22" t="str">
        <f aca="false">IF(R330="","",IF(R330&lt;=Q330,"Yes","No"))</f>
        <v/>
      </c>
      <c r="U330" s="22" t="str">
        <f aca="false">IF(B330="","",TEXT(YEAR(B330),"0"))</f>
        <v/>
      </c>
    </row>
    <row r="331" customFormat="false" ht="15" hidden="false" customHeight="false" outlineLevel="0" collapsed="false">
      <c r="B331" s="28"/>
      <c r="C331" s="24" t="str">
        <f aca="false">IF(B331="","",DATE(YEAR(B331),MONTH(B331),1))</f>
        <v/>
      </c>
      <c r="N331" s="26" t="str">
        <f aca="false">IF(L331="","",L331*M331)</f>
        <v/>
      </c>
      <c r="P331" s="26" t="str">
        <f aca="false">IF(L331="","",N331-L331*O331)</f>
        <v/>
      </c>
      <c r="T331" s="22" t="str">
        <f aca="false">IF(R331="","",IF(R331&lt;=Q331,"Yes","No"))</f>
        <v/>
      </c>
      <c r="U331" s="22" t="str">
        <f aca="false">IF(B331="","",TEXT(YEAR(B331),"0"))</f>
        <v/>
      </c>
    </row>
    <row r="332" customFormat="false" ht="15" hidden="false" customHeight="false" outlineLevel="0" collapsed="false">
      <c r="B332" s="28"/>
      <c r="C332" s="24" t="str">
        <f aca="false">IF(B332="","",DATE(YEAR(B332),MONTH(B332),1))</f>
        <v/>
      </c>
      <c r="N332" s="26" t="str">
        <f aca="false">IF(L332="","",L332*M332)</f>
        <v/>
      </c>
      <c r="P332" s="26" t="str">
        <f aca="false">IF(L332="","",N332-L332*O332)</f>
        <v/>
      </c>
      <c r="T332" s="22" t="str">
        <f aca="false">IF(R332="","",IF(R332&lt;=Q332,"Yes","No"))</f>
        <v/>
      </c>
      <c r="U332" s="22" t="str">
        <f aca="false">IF(B332="","",TEXT(YEAR(B332),"0"))</f>
        <v/>
      </c>
    </row>
    <row r="333" customFormat="false" ht="15" hidden="false" customHeight="false" outlineLevel="0" collapsed="false">
      <c r="B333" s="28"/>
      <c r="C333" s="24" t="str">
        <f aca="false">IF(B333="","",DATE(YEAR(B333),MONTH(B333),1))</f>
        <v/>
      </c>
      <c r="N333" s="26" t="str">
        <f aca="false">IF(L333="","",L333*M333)</f>
        <v/>
      </c>
      <c r="P333" s="26" t="str">
        <f aca="false">IF(L333="","",N333-L333*O333)</f>
        <v/>
      </c>
      <c r="T333" s="22" t="str">
        <f aca="false">IF(R333="","",IF(R333&lt;=Q333,"Yes","No"))</f>
        <v/>
      </c>
      <c r="U333" s="22" t="str">
        <f aca="false">IF(B333="","",TEXT(YEAR(B333),"0"))</f>
        <v/>
      </c>
    </row>
    <row r="334" customFormat="false" ht="15" hidden="false" customHeight="false" outlineLevel="0" collapsed="false">
      <c r="B334" s="28"/>
      <c r="C334" s="24" t="str">
        <f aca="false">IF(B334="","",DATE(YEAR(B334),MONTH(B334),1))</f>
        <v/>
      </c>
      <c r="N334" s="26" t="str">
        <f aca="false">IF(L334="","",L334*M334)</f>
        <v/>
      </c>
      <c r="P334" s="26" t="str">
        <f aca="false">IF(L334="","",N334-L334*O334)</f>
        <v/>
      </c>
      <c r="T334" s="22" t="str">
        <f aca="false">IF(R334="","",IF(R334&lt;=Q334,"Yes","No"))</f>
        <v/>
      </c>
      <c r="U334" s="22" t="str">
        <f aca="false">IF(B334="","",TEXT(YEAR(B334),"0"))</f>
        <v/>
      </c>
    </row>
    <row r="335" customFormat="false" ht="15" hidden="false" customHeight="false" outlineLevel="0" collapsed="false">
      <c r="B335" s="28"/>
      <c r="C335" s="24" t="str">
        <f aca="false">IF(B335="","",DATE(YEAR(B335),MONTH(B335),1))</f>
        <v/>
      </c>
      <c r="N335" s="26" t="str">
        <f aca="false">IF(L335="","",L335*M335)</f>
        <v/>
      </c>
      <c r="P335" s="26" t="str">
        <f aca="false">IF(L335="","",N335-L335*O335)</f>
        <v/>
      </c>
      <c r="T335" s="22" t="str">
        <f aca="false">IF(R335="","",IF(R335&lt;=Q335,"Yes","No"))</f>
        <v/>
      </c>
      <c r="U335" s="22" t="str">
        <f aca="false">IF(B335="","",TEXT(YEAR(B335),"0"))</f>
        <v/>
      </c>
    </row>
    <row r="336" customFormat="false" ht="15" hidden="false" customHeight="false" outlineLevel="0" collapsed="false">
      <c r="B336" s="28"/>
      <c r="C336" s="24" t="str">
        <f aca="false">IF(B336="","",DATE(YEAR(B336),MONTH(B336),1))</f>
        <v/>
      </c>
      <c r="N336" s="26" t="str">
        <f aca="false">IF(L336="","",L336*M336)</f>
        <v/>
      </c>
      <c r="P336" s="26" t="str">
        <f aca="false">IF(L336="","",N336-L336*O336)</f>
        <v/>
      </c>
      <c r="T336" s="22" t="str">
        <f aca="false">IF(R336="","",IF(R336&lt;=Q336,"Yes","No"))</f>
        <v/>
      </c>
      <c r="U336" s="22" t="str">
        <f aca="false">IF(B336="","",TEXT(YEAR(B336),"0"))</f>
        <v/>
      </c>
    </row>
    <row r="337" customFormat="false" ht="15" hidden="false" customHeight="false" outlineLevel="0" collapsed="false">
      <c r="B337" s="28"/>
      <c r="C337" s="24" t="str">
        <f aca="false">IF(B337="","",DATE(YEAR(B337),MONTH(B337),1))</f>
        <v/>
      </c>
      <c r="N337" s="26" t="str">
        <f aca="false">IF(L337="","",L337*M337)</f>
        <v/>
      </c>
      <c r="P337" s="26" t="str">
        <f aca="false">IF(L337="","",N337-L337*O337)</f>
        <v/>
      </c>
      <c r="T337" s="22" t="str">
        <f aca="false">IF(R337="","",IF(R337&lt;=Q337,"Yes","No"))</f>
        <v/>
      </c>
      <c r="U337" s="22" t="str">
        <f aca="false">IF(B337="","",TEXT(YEAR(B337),"0"))</f>
        <v/>
      </c>
    </row>
    <row r="338" customFormat="false" ht="15" hidden="false" customHeight="false" outlineLevel="0" collapsed="false">
      <c r="B338" s="28"/>
      <c r="C338" s="24" t="str">
        <f aca="false">IF(B338="","",DATE(YEAR(B338),MONTH(B338),1))</f>
        <v/>
      </c>
      <c r="N338" s="26" t="str">
        <f aca="false">IF(L338="","",L338*M338)</f>
        <v/>
      </c>
      <c r="P338" s="26" t="str">
        <f aca="false">IF(L338="","",N338-L338*O338)</f>
        <v/>
      </c>
      <c r="T338" s="22" t="str">
        <f aca="false">IF(R338="","",IF(R338&lt;=Q338,"Yes","No"))</f>
        <v/>
      </c>
      <c r="U338" s="22" t="str">
        <f aca="false">IF(B338="","",TEXT(YEAR(B338),"0"))</f>
        <v/>
      </c>
    </row>
    <row r="339" customFormat="false" ht="15" hidden="false" customHeight="false" outlineLevel="0" collapsed="false">
      <c r="B339" s="28"/>
      <c r="C339" s="24" t="str">
        <f aca="false">IF(B339="","",DATE(YEAR(B339),MONTH(B339),1))</f>
        <v/>
      </c>
      <c r="N339" s="26" t="str">
        <f aca="false">IF(L339="","",L339*M339)</f>
        <v/>
      </c>
      <c r="P339" s="26" t="str">
        <f aca="false">IF(L339="","",N339-L339*O339)</f>
        <v/>
      </c>
      <c r="T339" s="22" t="str">
        <f aca="false">IF(R339="","",IF(R339&lt;=Q339,"Yes","No"))</f>
        <v/>
      </c>
      <c r="U339" s="22" t="str">
        <f aca="false">IF(B339="","",TEXT(YEAR(B339),"0"))</f>
        <v/>
      </c>
    </row>
    <row r="340" customFormat="false" ht="15" hidden="false" customHeight="false" outlineLevel="0" collapsed="false">
      <c r="B340" s="28"/>
      <c r="C340" s="24" t="str">
        <f aca="false">IF(B340="","",DATE(YEAR(B340),MONTH(B340),1))</f>
        <v/>
      </c>
      <c r="N340" s="26" t="str">
        <f aca="false">IF(L340="","",L340*M340)</f>
        <v/>
      </c>
      <c r="P340" s="26" t="str">
        <f aca="false">IF(L340="","",N340-L340*O340)</f>
        <v/>
      </c>
      <c r="T340" s="22" t="str">
        <f aca="false">IF(R340="","",IF(R340&lt;=Q340,"Yes","No"))</f>
        <v/>
      </c>
      <c r="U340" s="22" t="str">
        <f aca="false">IF(B340="","",TEXT(YEAR(B340),"0"))</f>
        <v/>
      </c>
    </row>
    <row r="341" customFormat="false" ht="15" hidden="false" customHeight="false" outlineLevel="0" collapsed="false">
      <c r="B341" s="28"/>
      <c r="C341" s="24" t="str">
        <f aca="false">IF(B341="","",DATE(YEAR(B341),MONTH(B341),1))</f>
        <v/>
      </c>
      <c r="N341" s="26" t="str">
        <f aca="false">IF(L341="","",L341*M341)</f>
        <v/>
      </c>
      <c r="P341" s="26" t="str">
        <f aca="false">IF(L341="","",N341-L341*O341)</f>
        <v/>
      </c>
      <c r="T341" s="22" t="str">
        <f aca="false">IF(R341="","",IF(R341&lt;=Q341,"Yes","No"))</f>
        <v/>
      </c>
      <c r="U341" s="22" t="str">
        <f aca="false">IF(B341="","",TEXT(YEAR(B341),"0"))</f>
        <v/>
      </c>
    </row>
    <row r="342" customFormat="false" ht="15" hidden="false" customHeight="false" outlineLevel="0" collapsed="false">
      <c r="B342" s="28"/>
      <c r="C342" s="24" t="str">
        <f aca="false">IF(B342="","",DATE(YEAR(B342),MONTH(B342),1))</f>
        <v/>
      </c>
      <c r="N342" s="26" t="str">
        <f aca="false">IF(L342="","",L342*M342)</f>
        <v/>
      </c>
      <c r="P342" s="26" t="str">
        <f aca="false">IF(L342="","",N342-L342*O342)</f>
        <v/>
      </c>
      <c r="T342" s="22" t="str">
        <f aca="false">IF(R342="","",IF(R342&lt;=Q342,"Yes","No"))</f>
        <v/>
      </c>
      <c r="U342" s="22" t="str">
        <f aca="false">IF(B342="","",TEXT(YEAR(B342),"0"))</f>
        <v/>
      </c>
    </row>
    <row r="343" customFormat="false" ht="15" hidden="false" customHeight="false" outlineLevel="0" collapsed="false">
      <c r="B343" s="28"/>
      <c r="C343" s="24" t="str">
        <f aca="false">IF(B343="","",DATE(YEAR(B343),MONTH(B343),1))</f>
        <v/>
      </c>
      <c r="N343" s="26" t="str">
        <f aca="false">IF(L343="","",L343*M343)</f>
        <v/>
      </c>
      <c r="P343" s="26" t="str">
        <f aca="false">IF(L343="","",N343-L343*O343)</f>
        <v/>
      </c>
      <c r="T343" s="22" t="str">
        <f aca="false">IF(R343="","",IF(R343&lt;=Q343,"Yes","No"))</f>
        <v/>
      </c>
      <c r="U343" s="22" t="str">
        <f aca="false">IF(B343="","",TEXT(YEAR(B343),"0"))</f>
        <v/>
      </c>
    </row>
    <row r="344" customFormat="false" ht="15" hidden="false" customHeight="false" outlineLevel="0" collapsed="false">
      <c r="B344" s="28"/>
      <c r="C344" s="24" t="str">
        <f aca="false">IF(B344="","",DATE(YEAR(B344),MONTH(B344),1))</f>
        <v/>
      </c>
      <c r="N344" s="26" t="str">
        <f aca="false">IF(L344="","",L344*M344)</f>
        <v/>
      </c>
      <c r="P344" s="26" t="str">
        <f aca="false">IF(L344="","",N344-L344*O344)</f>
        <v/>
      </c>
      <c r="T344" s="22" t="str">
        <f aca="false">IF(R344="","",IF(R344&lt;=Q344,"Yes","No"))</f>
        <v/>
      </c>
      <c r="U344" s="22" t="str">
        <f aca="false">IF(B344="","",TEXT(YEAR(B344),"0"))</f>
        <v/>
      </c>
    </row>
    <row r="345" customFormat="false" ht="15" hidden="false" customHeight="false" outlineLevel="0" collapsed="false">
      <c r="B345" s="28"/>
      <c r="C345" s="24" t="str">
        <f aca="false">IF(B345="","",DATE(YEAR(B345),MONTH(B345),1))</f>
        <v/>
      </c>
      <c r="N345" s="26" t="str">
        <f aca="false">IF(L345="","",L345*M345)</f>
        <v/>
      </c>
      <c r="P345" s="26" t="str">
        <f aca="false">IF(L345="","",N345-L345*O345)</f>
        <v/>
      </c>
      <c r="T345" s="22" t="str">
        <f aca="false">IF(R345="","",IF(R345&lt;=Q345,"Yes","No"))</f>
        <v/>
      </c>
      <c r="U345" s="22" t="str">
        <f aca="false">IF(B345="","",TEXT(YEAR(B345),"0"))</f>
        <v/>
      </c>
    </row>
    <row r="346" customFormat="false" ht="15" hidden="false" customHeight="false" outlineLevel="0" collapsed="false">
      <c r="B346" s="28"/>
      <c r="C346" s="24" t="str">
        <f aca="false">IF(B346="","",DATE(YEAR(B346),MONTH(B346),1))</f>
        <v/>
      </c>
      <c r="N346" s="26" t="str">
        <f aca="false">IF(L346="","",L346*M346)</f>
        <v/>
      </c>
      <c r="P346" s="26" t="str">
        <f aca="false">IF(L346="","",N346-L346*O346)</f>
        <v/>
      </c>
      <c r="T346" s="22" t="str">
        <f aca="false">IF(R346="","",IF(R346&lt;=Q346,"Yes","No"))</f>
        <v/>
      </c>
      <c r="U346" s="22" t="str">
        <f aca="false">IF(B346="","",TEXT(YEAR(B346),"0"))</f>
        <v/>
      </c>
    </row>
    <row r="347" customFormat="false" ht="15" hidden="false" customHeight="false" outlineLevel="0" collapsed="false">
      <c r="B347" s="28"/>
      <c r="C347" s="24" t="str">
        <f aca="false">IF(B347="","",DATE(YEAR(B347),MONTH(B347),1))</f>
        <v/>
      </c>
      <c r="N347" s="26" t="str">
        <f aca="false">IF(L347="","",L347*M347)</f>
        <v/>
      </c>
      <c r="P347" s="26" t="str">
        <f aca="false">IF(L347="","",N347-L347*O347)</f>
        <v/>
      </c>
      <c r="T347" s="22" t="str">
        <f aca="false">IF(R347="","",IF(R347&lt;=Q347,"Yes","No"))</f>
        <v/>
      </c>
      <c r="U347" s="22" t="str">
        <f aca="false">IF(B347="","",TEXT(YEAR(B347),"0"))</f>
        <v/>
      </c>
    </row>
    <row r="348" customFormat="false" ht="15" hidden="false" customHeight="false" outlineLevel="0" collapsed="false">
      <c r="B348" s="28"/>
      <c r="C348" s="24" t="str">
        <f aca="false">IF(B348="","",DATE(YEAR(B348),MONTH(B348),1))</f>
        <v/>
      </c>
      <c r="N348" s="26" t="str">
        <f aca="false">IF(L348="","",L348*M348)</f>
        <v/>
      </c>
      <c r="P348" s="26" t="str">
        <f aca="false">IF(L348="","",N348-L348*O348)</f>
        <v/>
      </c>
      <c r="T348" s="22" t="str">
        <f aca="false">IF(R348="","",IF(R348&lt;=Q348,"Yes","No"))</f>
        <v/>
      </c>
      <c r="U348" s="22" t="str">
        <f aca="false">IF(B348="","",TEXT(YEAR(B348),"0"))</f>
        <v/>
      </c>
    </row>
    <row r="349" customFormat="false" ht="15" hidden="false" customHeight="false" outlineLevel="0" collapsed="false">
      <c r="B349" s="28"/>
      <c r="C349" s="24" t="str">
        <f aca="false">IF(B349="","",DATE(YEAR(B349),MONTH(B349),1))</f>
        <v/>
      </c>
      <c r="N349" s="26" t="str">
        <f aca="false">IF(L349="","",L349*M349)</f>
        <v/>
      </c>
      <c r="P349" s="26" t="str">
        <f aca="false">IF(L349="","",N349-L349*O349)</f>
        <v/>
      </c>
      <c r="T349" s="22" t="str">
        <f aca="false">IF(R349="","",IF(R349&lt;=Q349,"Yes","No"))</f>
        <v/>
      </c>
      <c r="U349" s="22" t="str">
        <f aca="false">IF(B349="","",TEXT(YEAR(B349),"0"))</f>
        <v/>
      </c>
    </row>
    <row r="350" customFormat="false" ht="15" hidden="false" customHeight="false" outlineLevel="0" collapsed="false">
      <c r="B350" s="28"/>
      <c r="C350" s="24" t="str">
        <f aca="false">IF(B350="","",DATE(YEAR(B350),MONTH(B350),1))</f>
        <v/>
      </c>
      <c r="N350" s="26" t="str">
        <f aca="false">IF(L350="","",L350*M350)</f>
        <v/>
      </c>
      <c r="P350" s="26" t="str">
        <f aca="false">IF(L350="","",N350-L350*O350)</f>
        <v/>
      </c>
      <c r="T350" s="22" t="str">
        <f aca="false">IF(R350="","",IF(R350&lt;=Q350,"Yes","No"))</f>
        <v/>
      </c>
      <c r="U350" s="22" t="str">
        <f aca="false">IF(B350="","",TEXT(YEAR(B350),"0"))</f>
        <v/>
      </c>
    </row>
    <row r="351" customFormat="false" ht="15" hidden="false" customHeight="false" outlineLevel="0" collapsed="false">
      <c r="B351" s="28"/>
      <c r="C351" s="24" t="str">
        <f aca="false">IF(B351="","",DATE(YEAR(B351),MONTH(B351),1))</f>
        <v/>
      </c>
      <c r="N351" s="26" t="str">
        <f aca="false">IF(L351="","",L351*M351)</f>
        <v/>
      </c>
      <c r="P351" s="26" t="str">
        <f aca="false">IF(L351="","",N351-L351*O351)</f>
        <v/>
      </c>
      <c r="T351" s="22" t="str">
        <f aca="false">IF(R351="","",IF(R351&lt;=Q351,"Yes","No"))</f>
        <v/>
      </c>
      <c r="U351" s="22" t="str">
        <f aca="false">IF(B351="","",TEXT(YEAR(B351),"0"))</f>
        <v/>
      </c>
    </row>
    <row r="352" customFormat="false" ht="15" hidden="false" customHeight="false" outlineLevel="0" collapsed="false">
      <c r="B352" s="28"/>
      <c r="C352" s="24" t="str">
        <f aca="false">IF(B352="","",DATE(YEAR(B352),MONTH(B352),1))</f>
        <v/>
      </c>
      <c r="N352" s="26" t="str">
        <f aca="false">IF(L352="","",L352*M352)</f>
        <v/>
      </c>
      <c r="P352" s="26" t="str">
        <f aca="false">IF(L352="","",N352-L352*O352)</f>
        <v/>
      </c>
      <c r="T352" s="22" t="str">
        <f aca="false">IF(R352="","",IF(R352&lt;=Q352,"Yes","No"))</f>
        <v/>
      </c>
      <c r="U352" s="22" t="str">
        <f aca="false">IF(B352="","",TEXT(YEAR(B352),"0"))</f>
        <v/>
      </c>
    </row>
    <row r="353" customFormat="false" ht="15" hidden="false" customHeight="false" outlineLevel="0" collapsed="false">
      <c r="B353" s="28"/>
      <c r="C353" s="24" t="str">
        <f aca="false">IF(B353="","",DATE(YEAR(B353),MONTH(B353),1))</f>
        <v/>
      </c>
      <c r="N353" s="26" t="str">
        <f aca="false">IF(L353="","",L353*M353)</f>
        <v/>
      </c>
      <c r="P353" s="26" t="str">
        <f aca="false">IF(L353="","",N353-L353*O353)</f>
        <v/>
      </c>
      <c r="T353" s="22" t="str">
        <f aca="false">IF(R353="","",IF(R353&lt;=Q353,"Yes","No"))</f>
        <v/>
      </c>
      <c r="U353" s="22" t="str">
        <f aca="false">IF(B353="","",TEXT(YEAR(B353),"0"))</f>
        <v/>
      </c>
    </row>
    <row r="354" customFormat="false" ht="15" hidden="false" customHeight="false" outlineLevel="0" collapsed="false">
      <c r="B354" s="28"/>
      <c r="C354" s="24" t="str">
        <f aca="false">IF(B354="","",DATE(YEAR(B354),MONTH(B354),1))</f>
        <v/>
      </c>
      <c r="N354" s="26" t="str">
        <f aca="false">IF(L354="","",L354*M354)</f>
        <v/>
      </c>
      <c r="P354" s="26" t="str">
        <f aca="false">IF(L354="","",N354-L354*O354)</f>
        <v/>
      </c>
      <c r="T354" s="22" t="str">
        <f aca="false">IF(R354="","",IF(R354&lt;=Q354,"Yes","No"))</f>
        <v/>
      </c>
      <c r="U354" s="22" t="str">
        <f aca="false">IF(B354="","",TEXT(YEAR(B354),"0"))</f>
        <v/>
      </c>
    </row>
    <row r="355" customFormat="false" ht="15" hidden="false" customHeight="false" outlineLevel="0" collapsed="false">
      <c r="B355" s="28"/>
      <c r="C355" s="24" t="str">
        <f aca="false">IF(B355="","",DATE(YEAR(B355),MONTH(B355),1))</f>
        <v/>
      </c>
      <c r="N355" s="26" t="str">
        <f aca="false">IF(L355="","",L355*M355)</f>
        <v/>
      </c>
      <c r="P355" s="26" t="str">
        <f aca="false">IF(L355="","",N355-L355*O355)</f>
        <v/>
      </c>
      <c r="T355" s="22" t="str">
        <f aca="false">IF(R355="","",IF(R355&lt;=Q355,"Yes","No"))</f>
        <v/>
      </c>
      <c r="U355" s="22" t="str">
        <f aca="false">IF(B355="","",TEXT(YEAR(B355),"0"))</f>
        <v/>
      </c>
    </row>
    <row r="356" customFormat="false" ht="15" hidden="false" customHeight="false" outlineLevel="0" collapsed="false">
      <c r="B356" s="28"/>
      <c r="C356" s="24" t="str">
        <f aca="false">IF(B356="","",DATE(YEAR(B356),MONTH(B356),1))</f>
        <v/>
      </c>
      <c r="N356" s="26" t="str">
        <f aca="false">IF(L356="","",L356*M356)</f>
        <v/>
      </c>
      <c r="P356" s="26" t="str">
        <f aca="false">IF(L356="","",N356-L356*O356)</f>
        <v/>
      </c>
      <c r="T356" s="22" t="str">
        <f aca="false">IF(R356="","",IF(R356&lt;=Q356,"Yes","No"))</f>
        <v/>
      </c>
      <c r="U356" s="22" t="str">
        <f aca="false">IF(B356="","",TEXT(YEAR(B356),"0"))</f>
        <v/>
      </c>
    </row>
    <row r="357" customFormat="false" ht="15" hidden="false" customHeight="false" outlineLevel="0" collapsed="false">
      <c r="B357" s="28"/>
      <c r="C357" s="24" t="str">
        <f aca="false">IF(B357="","",DATE(YEAR(B357),MONTH(B357),1))</f>
        <v/>
      </c>
      <c r="N357" s="26" t="str">
        <f aca="false">IF(L357="","",L357*M357)</f>
        <v/>
      </c>
      <c r="P357" s="26" t="str">
        <f aca="false">IF(L357="","",N357-L357*O357)</f>
        <v/>
      </c>
      <c r="T357" s="22" t="str">
        <f aca="false">IF(R357="","",IF(R357&lt;=Q357,"Yes","No"))</f>
        <v/>
      </c>
      <c r="U357" s="22" t="str">
        <f aca="false">IF(B357="","",TEXT(YEAR(B357),"0"))</f>
        <v/>
      </c>
    </row>
    <row r="358" customFormat="false" ht="15" hidden="false" customHeight="false" outlineLevel="0" collapsed="false">
      <c r="B358" s="28"/>
      <c r="C358" s="24" t="str">
        <f aca="false">IF(B358="","",DATE(YEAR(B358),MONTH(B358),1))</f>
        <v/>
      </c>
      <c r="N358" s="26" t="str">
        <f aca="false">IF(L358="","",L358*M358)</f>
        <v/>
      </c>
      <c r="P358" s="26" t="str">
        <f aca="false">IF(L358="","",N358-L358*O358)</f>
        <v/>
      </c>
      <c r="T358" s="22" t="str">
        <f aca="false">IF(R358="","",IF(R358&lt;=Q358,"Yes","No"))</f>
        <v/>
      </c>
      <c r="U358" s="22" t="str">
        <f aca="false">IF(B358="","",TEXT(YEAR(B358),"0"))</f>
        <v/>
      </c>
    </row>
    <row r="359" customFormat="false" ht="15" hidden="false" customHeight="false" outlineLevel="0" collapsed="false">
      <c r="B359" s="28"/>
      <c r="C359" s="24" t="str">
        <f aca="false">IF(B359="","",DATE(YEAR(B359),MONTH(B359),1))</f>
        <v/>
      </c>
      <c r="N359" s="26" t="str">
        <f aca="false">IF(L359="","",L359*M359)</f>
        <v/>
      </c>
      <c r="P359" s="26" t="str">
        <f aca="false">IF(L359="","",N359-L359*O359)</f>
        <v/>
      </c>
      <c r="T359" s="22" t="str">
        <f aca="false">IF(R359="","",IF(R359&lt;=Q359,"Yes","No"))</f>
        <v/>
      </c>
      <c r="U359" s="22" t="str">
        <f aca="false">IF(B359="","",TEXT(YEAR(B359),"0"))</f>
        <v/>
      </c>
    </row>
    <row r="360" customFormat="false" ht="15" hidden="false" customHeight="false" outlineLevel="0" collapsed="false">
      <c r="B360" s="28"/>
      <c r="C360" s="24" t="str">
        <f aca="false">IF(B360="","",DATE(YEAR(B360),MONTH(B360),1))</f>
        <v/>
      </c>
      <c r="N360" s="26" t="str">
        <f aca="false">IF(L360="","",L360*M360)</f>
        <v/>
      </c>
      <c r="P360" s="26" t="str">
        <f aca="false">IF(L360="","",N360-L360*O360)</f>
        <v/>
      </c>
      <c r="T360" s="22" t="str">
        <f aca="false">IF(R360="","",IF(R360&lt;=Q360,"Yes","No"))</f>
        <v/>
      </c>
      <c r="U360" s="22" t="str">
        <f aca="false">IF(B360="","",TEXT(YEAR(B360),"0"))</f>
        <v/>
      </c>
    </row>
    <row r="361" customFormat="false" ht="15" hidden="false" customHeight="false" outlineLevel="0" collapsed="false">
      <c r="B361" s="28"/>
      <c r="C361" s="24" t="str">
        <f aca="false">IF(B361="","",DATE(YEAR(B361),MONTH(B361),1))</f>
        <v/>
      </c>
      <c r="N361" s="26" t="str">
        <f aca="false">IF(L361="","",L361*M361)</f>
        <v/>
      </c>
      <c r="P361" s="26" t="str">
        <f aca="false">IF(L361="","",N361-L361*O361)</f>
        <v/>
      </c>
      <c r="T361" s="22" t="str">
        <f aca="false">IF(R361="","",IF(R361&lt;=Q361,"Yes","No"))</f>
        <v/>
      </c>
      <c r="U361" s="22" t="str">
        <f aca="false">IF(B361="","",TEXT(YEAR(B361),"0"))</f>
        <v/>
      </c>
    </row>
    <row r="362" customFormat="false" ht="15" hidden="false" customHeight="false" outlineLevel="0" collapsed="false">
      <c r="B362" s="28"/>
      <c r="C362" s="24" t="str">
        <f aca="false">IF(B362="","",DATE(YEAR(B362),MONTH(B362),1))</f>
        <v/>
      </c>
      <c r="N362" s="26" t="str">
        <f aca="false">IF(L362="","",L362*M362)</f>
        <v/>
      </c>
      <c r="P362" s="26" t="str">
        <f aca="false">IF(L362="","",N362-L362*O362)</f>
        <v/>
      </c>
      <c r="T362" s="22" t="str">
        <f aca="false">IF(R362="","",IF(R362&lt;=Q362,"Yes","No"))</f>
        <v/>
      </c>
      <c r="U362" s="22" t="str">
        <f aca="false">IF(B362="","",TEXT(YEAR(B362),"0"))</f>
        <v/>
      </c>
    </row>
    <row r="363" customFormat="false" ht="15" hidden="false" customHeight="false" outlineLevel="0" collapsed="false">
      <c r="B363" s="28"/>
      <c r="C363" s="24" t="str">
        <f aca="false">IF(B363="","",DATE(YEAR(B363),MONTH(B363),1))</f>
        <v/>
      </c>
      <c r="N363" s="26" t="str">
        <f aca="false">IF(L363="","",L363*M363)</f>
        <v/>
      </c>
      <c r="P363" s="26" t="str">
        <f aca="false">IF(L363="","",N363-L363*O363)</f>
        <v/>
      </c>
      <c r="T363" s="22" t="str">
        <f aca="false">IF(R363="","",IF(R363&lt;=Q363,"Yes","No"))</f>
        <v/>
      </c>
      <c r="U363" s="22" t="str">
        <f aca="false">IF(B363="","",TEXT(YEAR(B363),"0"))</f>
        <v/>
      </c>
    </row>
    <row r="364" customFormat="false" ht="15" hidden="false" customHeight="false" outlineLevel="0" collapsed="false">
      <c r="B364" s="28"/>
      <c r="C364" s="24" t="str">
        <f aca="false">IF(B364="","",DATE(YEAR(B364),MONTH(B364),1))</f>
        <v/>
      </c>
      <c r="N364" s="26" t="str">
        <f aca="false">IF(L364="","",L364*M364)</f>
        <v/>
      </c>
      <c r="P364" s="26" t="str">
        <f aca="false">IF(L364="","",N364-L364*O364)</f>
        <v/>
      </c>
      <c r="T364" s="22" t="str">
        <f aca="false">IF(R364="","",IF(R364&lt;=Q364,"Yes","No"))</f>
        <v/>
      </c>
      <c r="U364" s="22" t="str">
        <f aca="false">IF(B364="","",TEXT(YEAR(B364),"0"))</f>
        <v/>
      </c>
    </row>
    <row r="365" customFormat="false" ht="15" hidden="false" customHeight="false" outlineLevel="0" collapsed="false">
      <c r="B365" s="28"/>
      <c r="C365" s="24" t="str">
        <f aca="false">IF(B365="","",DATE(YEAR(B365),MONTH(B365),1))</f>
        <v/>
      </c>
      <c r="N365" s="26" t="str">
        <f aca="false">IF(L365="","",L365*M365)</f>
        <v/>
      </c>
      <c r="P365" s="26" t="str">
        <f aca="false">IF(L365="","",N365-L365*O365)</f>
        <v/>
      </c>
      <c r="T365" s="22" t="str">
        <f aca="false">IF(R365="","",IF(R365&lt;=Q365,"Yes","No"))</f>
        <v/>
      </c>
      <c r="U365" s="22" t="str">
        <f aca="false">IF(B365="","",TEXT(YEAR(B365),"0"))</f>
        <v/>
      </c>
    </row>
    <row r="366" customFormat="false" ht="15" hidden="false" customHeight="false" outlineLevel="0" collapsed="false">
      <c r="B366" s="28"/>
      <c r="C366" s="24" t="str">
        <f aca="false">IF(B366="","",DATE(YEAR(B366),MONTH(B366),1))</f>
        <v/>
      </c>
      <c r="N366" s="26" t="str">
        <f aca="false">IF(L366="","",L366*M366)</f>
        <v/>
      </c>
      <c r="P366" s="26" t="str">
        <f aca="false">IF(L366="","",N366-L366*O366)</f>
        <v/>
      </c>
      <c r="T366" s="22" t="str">
        <f aca="false">IF(R366="","",IF(R366&lt;=Q366,"Yes","No"))</f>
        <v/>
      </c>
      <c r="U366" s="22" t="str">
        <f aca="false">IF(B366="","",TEXT(YEAR(B366),"0"))</f>
        <v/>
      </c>
    </row>
    <row r="367" customFormat="false" ht="15" hidden="false" customHeight="false" outlineLevel="0" collapsed="false">
      <c r="B367" s="28"/>
      <c r="C367" s="24" t="str">
        <f aca="false">IF(B367="","",DATE(YEAR(B367),MONTH(B367),1))</f>
        <v/>
      </c>
      <c r="N367" s="26" t="str">
        <f aca="false">IF(L367="","",L367*M367)</f>
        <v/>
      </c>
      <c r="P367" s="26" t="str">
        <f aca="false">IF(L367="","",N367-L367*O367)</f>
        <v/>
      </c>
      <c r="T367" s="22" t="str">
        <f aca="false">IF(R367="","",IF(R367&lt;=Q367,"Yes","No"))</f>
        <v/>
      </c>
      <c r="U367" s="22" t="str">
        <f aca="false">IF(B367="","",TEXT(YEAR(B367),"0"))</f>
        <v/>
      </c>
    </row>
    <row r="368" customFormat="false" ht="15" hidden="false" customHeight="false" outlineLevel="0" collapsed="false">
      <c r="B368" s="28"/>
      <c r="C368" s="24" t="str">
        <f aca="false">IF(B368="","",DATE(YEAR(B368),MONTH(B368),1))</f>
        <v/>
      </c>
      <c r="N368" s="26" t="str">
        <f aca="false">IF(L368="","",L368*M368)</f>
        <v/>
      </c>
      <c r="P368" s="26" t="str">
        <f aca="false">IF(L368="","",N368-L368*O368)</f>
        <v/>
      </c>
      <c r="T368" s="22" t="str">
        <f aca="false">IF(R368="","",IF(R368&lt;=Q368,"Yes","No"))</f>
        <v/>
      </c>
      <c r="U368" s="22" t="str">
        <f aca="false">IF(B368="","",TEXT(YEAR(B368),"0"))</f>
        <v/>
      </c>
    </row>
    <row r="369" customFormat="false" ht="15" hidden="false" customHeight="false" outlineLevel="0" collapsed="false">
      <c r="B369" s="28"/>
      <c r="C369" s="24" t="str">
        <f aca="false">IF(B369="","",DATE(YEAR(B369),MONTH(B369),1))</f>
        <v/>
      </c>
      <c r="N369" s="26" t="str">
        <f aca="false">IF(L369="","",L369*M369)</f>
        <v/>
      </c>
      <c r="P369" s="26" t="str">
        <f aca="false">IF(L369="","",N369-L369*O369)</f>
        <v/>
      </c>
      <c r="T369" s="22" t="str">
        <f aca="false">IF(R369="","",IF(R369&lt;=Q369,"Yes","No"))</f>
        <v/>
      </c>
      <c r="U369" s="22" t="str">
        <f aca="false">IF(B369="","",TEXT(YEAR(B369),"0"))</f>
        <v/>
      </c>
    </row>
    <row r="370" customFormat="false" ht="15" hidden="false" customHeight="false" outlineLevel="0" collapsed="false">
      <c r="B370" s="28"/>
      <c r="C370" s="24" t="str">
        <f aca="false">IF(B370="","",DATE(YEAR(B370),MONTH(B370),1))</f>
        <v/>
      </c>
      <c r="N370" s="26" t="str">
        <f aca="false">IF(L370="","",L370*M370)</f>
        <v/>
      </c>
      <c r="P370" s="26" t="str">
        <f aca="false">IF(L370="","",N370-L370*O370)</f>
        <v/>
      </c>
      <c r="T370" s="22" t="str">
        <f aca="false">IF(R370="","",IF(R370&lt;=Q370,"Yes","No"))</f>
        <v/>
      </c>
      <c r="U370" s="22" t="str">
        <f aca="false">IF(B370="","",TEXT(YEAR(B370),"0"))</f>
        <v/>
      </c>
    </row>
    <row r="371" customFormat="false" ht="15" hidden="false" customHeight="false" outlineLevel="0" collapsed="false">
      <c r="B371" s="28"/>
      <c r="C371" s="24" t="str">
        <f aca="false">IF(B371="","",DATE(YEAR(B371),MONTH(B371),1))</f>
        <v/>
      </c>
      <c r="N371" s="26" t="str">
        <f aca="false">IF(L371="","",L371*M371)</f>
        <v/>
      </c>
      <c r="P371" s="26" t="str">
        <f aca="false">IF(L371="","",N371-L371*O371)</f>
        <v/>
      </c>
      <c r="T371" s="22" t="str">
        <f aca="false">IF(R371="","",IF(R371&lt;=Q371,"Yes","No"))</f>
        <v/>
      </c>
      <c r="U371" s="22" t="str">
        <f aca="false">IF(B371="","",TEXT(YEAR(B371),"0"))</f>
        <v/>
      </c>
    </row>
    <row r="372" customFormat="false" ht="15" hidden="false" customHeight="false" outlineLevel="0" collapsed="false">
      <c r="B372" s="28"/>
      <c r="C372" s="24" t="str">
        <f aca="false">IF(B372="","",DATE(YEAR(B372),MONTH(B372),1))</f>
        <v/>
      </c>
      <c r="N372" s="26" t="str">
        <f aca="false">IF(L372="","",L372*M372)</f>
        <v/>
      </c>
      <c r="P372" s="26" t="str">
        <f aca="false">IF(L372="","",N372-L372*O372)</f>
        <v/>
      </c>
      <c r="T372" s="22" t="str">
        <f aca="false">IF(R372="","",IF(R372&lt;=Q372,"Yes","No"))</f>
        <v/>
      </c>
      <c r="U372" s="22" t="str">
        <f aca="false">IF(B372="","",TEXT(YEAR(B372),"0"))</f>
        <v/>
      </c>
    </row>
    <row r="373" customFormat="false" ht="15" hidden="false" customHeight="false" outlineLevel="0" collapsed="false">
      <c r="B373" s="28"/>
      <c r="C373" s="24" t="str">
        <f aca="false">IF(B373="","",DATE(YEAR(B373),MONTH(B373),1))</f>
        <v/>
      </c>
      <c r="N373" s="26" t="str">
        <f aca="false">IF(L373="","",L373*M373)</f>
        <v/>
      </c>
      <c r="P373" s="26" t="str">
        <f aca="false">IF(L373="","",N373-L373*O373)</f>
        <v/>
      </c>
      <c r="T373" s="22" t="str">
        <f aca="false">IF(R373="","",IF(R373&lt;=Q373,"Yes","No"))</f>
        <v/>
      </c>
      <c r="U373" s="22" t="str">
        <f aca="false">IF(B373="","",TEXT(YEAR(B373),"0"))</f>
        <v/>
      </c>
    </row>
    <row r="374" customFormat="false" ht="15" hidden="false" customHeight="false" outlineLevel="0" collapsed="false">
      <c r="B374" s="28"/>
      <c r="C374" s="24" t="str">
        <f aca="false">IF(B374="","",DATE(YEAR(B374),MONTH(B374),1))</f>
        <v/>
      </c>
      <c r="N374" s="26" t="str">
        <f aca="false">IF(L374="","",L374*M374)</f>
        <v/>
      </c>
      <c r="P374" s="26" t="str">
        <f aca="false">IF(L374="","",N374-L374*O374)</f>
        <v/>
      </c>
      <c r="T374" s="22" t="str">
        <f aca="false">IF(R374="","",IF(R374&lt;=Q374,"Yes","No"))</f>
        <v/>
      </c>
      <c r="U374" s="22" t="str">
        <f aca="false">IF(B374="","",TEXT(YEAR(B374),"0"))</f>
        <v/>
      </c>
    </row>
    <row r="375" customFormat="false" ht="15" hidden="false" customHeight="false" outlineLevel="0" collapsed="false">
      <c r="B375" s="28"/>
      <c r="C375" s="24" t="str">
        <f aca="false">IF(B375="","",DATE(YEAR(B375),MONTH(B375),1))</f>
        <v/>
      </c>
      <c r="N375" s="26" t="str">
        <f aca="false">IF(L375="","",L375*M375)</f>
        <v/>
      </c>
      <c r="P375" s="26" t="str">
        <f aca="false">IF(L375="","",N375-L375*O375)</f>
        <v/>
      </c>
      <c r="T375" s="22" t="str">
        <f aca="false">IF(R375="","",IF(R375&lt;=Q375,"Yes","No"))</f>
        <v/>
      </c>
      <c r="U375" s="22" t="str">
        <f aca="false">IF(B375="","",TEXT(YEAR(B375),"0"))</f>
        <v/>
      </c>
    </row>
    <row r="376" customFormat="false" ht="15" hidden="false" customHeight="false" outlineLevel="0" collapsed="false">
      <c r="B376" s="28"/>
      <c r="C376" s="24" t="str">
        <f aca="false">IF(B376="","",DATE(YEAR(B376),MONTH(B376),1))</f>
        <v/>
      </c>
      <c r="N376" s="26" t="str">
        <f aca="false">IF(L376="","",L376*M376)</f>
        <v/>
      </c>
      <c r="P376" s="26" t="str">
        <f aca="false">IF(L376="","",N376-L376*O376)</f>
        <v/>
      </c>
      <c r="T376" s="22" t="str">
        <f aca="false">IF(R376="","",IF(R376&lt;=Q376,"Yes","No"))</f>
        <v/>
      </c>
      <c r="U376" s="22" t="str">
        <f aca="false">IF(B376="","",TEXT(YEAR(B376),"0"))</f>
        <v/>
      </c>
    </row>
    <row r="377" customFormat="false" ht="15" hidden="false" customHeight="false" outlineLevel="0" collapsed="false">
      <c r="B377" s="28"/>
      <c r="C377" s="24" t="str">
        <f aca="false">IF(B377="","",DATE(YEAR(B377),MONTH(B377),1))</f>
        <v/>
      </c>
      <c r="N377" s="26" t="str">
        <f aca="false">IF(L377="","",L377*M377)</f>
        <v/>
      </c>
      <c r="P377" s="26" t="str">
        <f aca="false">IF(L377="","",N377-L377*O377)</f>
        <v/>
      </c>
      <c r="T377" s="22" t="str">
        <f aca="false">IF(R377="","",IF(R377&lt;=Q377,"Yes","No"))</f>
        <v/>
      </c>
      <c r="U377" s="22" t="str">
        <f aca="false">IF(B377="","",TEXT(YEAR(B377),"0"))</f>
        <v/>
      </c>
    </row>
    <row r="378" customFormat="false" ht="15" hidden="false" customHeight="false" outlineLevel="0" collapsed="false">
      <c r="B378" s="28"/>
      <c r="C378" s="24" t="str">
        <f aca="false">IF(B378="","",DATE(YEAR(B378),MONTH(B378),1))</f>
        <v/>
      </c>
      <c r="N378" s="26" t="str">
        <f aca="false">IF(L378="","",L378*M378)</f>
        <v/>
      </c>
      <c r="P378" s="26" t="str">
        <f aca="false">IF(L378="","",N378-L378*O378)</f>
        <v/>
      </c>
      <c r="T378" s="22" t="str">
        <f aca="false">IF(R378="","",IF(R378&lt;=Q378,"Yes","No"))</f>
        <v/>
      </c>
      <c r="U378" s="22" t="str">
        <f aca="false">IF(B378="","",TEXT(YEAR(B378),"0"))</f>
        <v/>
      </c>
    </row>
    <row r="379" customFormat="false" ht="15" hidden="false" customHeight="false" outlineLevel="0" collapsed="false">
      <c r="B379" s="28"/>
      <c r="C379" s="24" t="str">
        <f aca="false">IF(B379="","",DATE(YEAR(B379),MONTH(B379),1))</f>
        <v/>
      </c>
      <c r="N379" s="26" t="str">
        <f aca="false">IF(L379="","",L379*M379)</f>
        <v/>
      </c>
      <c r="P379" s="26" t="str">
        <f aca="false">IF(L379="","",N379-L379*O379)</f>
        <v/>
      </c>
      <c r="T379" s="22" t="str">
        <f aca="false">IF(R379="","",IF(R379&lt;=Q379,"Yes","No"))</f>
        <v/>
      </c>
      <c r="U379" s="22" t="str">
        <f aca="false">IF(B379="","",TEXT(YEAR(B379),"0"))</f>
        <v/>
      </c>
    </row>
    <row r="380" customFormat="false" ht="15" hidden="false" customHeight="false" outlineLevel="0" collapsed="false">
      <c r="B380" s="28"/>
      <c r="C380" s="24" t="str">
        <f aca="false">IF(B380="","",DATE(YEAR(B380),MONTH(B380),1))</f>
        <v/>
      </c>
      <c r="N380" s="26" t="str">
        <f aca="false">IF(L380="","",L380*M380)</f>
        <v/>
      </c>
      <c r="P380" s="26" t="str">
        <f aca="false">IF(L380="","",N380-L380*O380)</f>
        <v/>
      </c>
      <c r="T380" s="22" t="str">
        <f aca="false">IF(R380="","",IF(R380&lt;=Q380,"Yes","No"))</f>
        <v/>
      </c>
      <c r="U380" s="22" t="str">
        <f aca="false">IF(B380="","",TEXT(YEAR(B380),"0"))</f>
        <v/>
      </c>
    </row>
    <row r="381" customFormat="false" ht="15" hidden="false" customHeight="false" outlineLevel="0" collapsed="false">
      <c r="B381" s="28"/>
      <c r="C381" s="24" t="str">
        <f aca="false">IF(B381="","",DATE(YEAR(B381),MONTH(B381),1))</f>
        <v/>
      </c>
      <c r="N381" s="26" t="str">
        <f aca="false">IF(L381="","",L381*M381)</f>
        <v/>
      </c>
      <c r="P381" s="26" t="str">
        <f aca="false">IF(L381="","",N381-L381*O381)</f>
        <v/>
      </c>
      <c r="T381" s="22" t="str">
        <f aca="false">IF(R381="","",IF(R381&lt;=Q381,"Yes","No"))</f>
        <v/>
      </c>
      <c r="U381" s="22" t="str">
        <f aca="false">IF(B381="","",TEXT(YEAR(B381),"0"))</f>
        <v/>
      </c>
    </row>
    <row r="382" customFormat="false" ht="15" hidden="false" customHeight="false" outlineLevel="0" collapsed="false">
      <c r="B382" s="28"/>
      <c r="C382" s="24" t="str">
        <f aca="false">IF(B382="","",DATE(YEAR(B382),MONTH(B382),1))</f>
        <v/>
      </c>
      <c r="N382" s="26" t="str">
        <f aca="false">IF(L382="","",L382*M382)</f>
        <v/>
      </c>
      <c r="P382" s="26" t="str">
        <f aca="false">IF(L382="","",N382-L382*O382)</f>
        <v/>
      </c>
      <c r="T382" s="22" t="str">
        <f aca="false">IF(R382="","",IF(R382&lt;=Q382,"Yes","No"))</f>
        <v/>
      </c>
      <c r="U382" s="22" t="str">
        <f aca="false">IF(B382="","",TEXT(YEAR(B382),"0"))</f>
        <v/>
      </c>
    </row>
    <row r="383" customFormat="false" ht="15" hidden="false" customHeight="false" outlineLevel="0" collapsed="false">
      <c r="B383" s="28"/>
      <c r="C383" s="24" t="str">
        <f aca="false">IF(B383="","",DATE(YEAR(B383),MONTH(B383),1))</f>
        <v/>
      </c>
      <c r="N383" s="26" t="str">
        <f aca="false">IF(L383="","",L383*M383)</f>
        <v/>
      </c>
      <c r="P383" s="26" t="str">
        <f aca="false">IF(L383="","",N383-L383*O383)</f>
        <v/>
      </c>
      <c r="T383" s="22" t="str">
        <f aca="false">IF(R383="","",IF(R383&lt;=Q383,"Yes","No"))</f>
        <v/>
      </c>
      <c r="U383" s="22" t="str">
        <f aca="false">IF(B383="","",TEXT(YEAR(B383),"0"))</f>
        <v/>
      </c>
    </row>
    <row r="384" customFormat="false" ht="15" hidden="false" customHeight="false" outlineLevel="0" collapsed="false">
      <c r="B384" s="28"/>
      <c r="C384" s="24" t="str">
        <f aca="false">IF(B384="","",DATE(YEAR(B384),MONTH(B384),1))</f>
        <v/>
      </c>
      <c r="N384" s="26" t="str">
        <f aca="false">IF(L384="","",L384*M384)</f>
        <v/>
      </c>
      <c r="P384" s="26" t="str">
        <f aca="false">IF(L384="","",N384-L384*O384)</f>
        <v/>
      </c>
      <c r="T384" s="22" t="str">
        <f aca="false">IF(R384="","",IF(R384&lt;=Q384,"Yes","No"))</f>
        <v/>
      </c>
      <c r="U384" s="22" t="str">
        <f aca="false">IF(B384="","",TEXT(YEAR(B384),"0"))</f>
        <v/>
      </c>
    </row>
    <row r="385" customFormat="false" ht="15" hidden="false" customHeight="false" outlineLevel="0" collapsed="false">
      <c r="B385" s="28"/>
      <c r="C385" s="24" t="str">
        <f aca="false">IF(B385="","",DATE(YEAR(B385),MONTH(B385),1))</f>
        <v/>
      </c>
      <c r="N385" s="26" t="str">
        <f aca="false">IF(L385="","",L385*M385)</f>
        <v/>
      </c>
      <c r="P385" s="26" t="str">
        <f aca="false">IF(L385="","",N385-L385*O385)</f>
        <v/>
      </c>
      <c r="T385" s="22" t="str">
        <f aca="false">IF(R385="","",IF(R385&lt;=Q385,"Yes","No"))</f>
        <v/>
      </c>
      <c r="U385" s="22" t="str">
        <f aca="false">IF(B385="","",TEXT(YEAR(B385),"0"))</f>
        <v/>
      </c>
    </row>
    <row r="386" customFormat="false" ht="15" hidden="false" customHeight="false" outlineLevel="0" collapsed="false">
      <c r="B386" s="28"/>
      <c r="C386" s="24" t="str">
        <f aca="false">IF(B386="","",DATE(YEAR(B386),MONTH(B386),1))</f>
        <v/>
      </c>
      <c r="N386" s="26" t="str">
        <f aca="false">IF(L386="","",L386*M386)</f>
        <v/>
      </c>
      <c r="P386" s="26" t="str">
        <f aca="false">IF(L386="","",N386-L386*O386)</f>
        <v/>
      </c>
      <c r="T386" s="22" t="str">
        <f aca="false">IF(R386="","",IF(R386&lt;=Q386,"Yes","No"))</f>
        <v/>
      </c>
      <c r="U386" s="22" t="str">
        <f aca="false">IF(B386="","",TEXT(YEAR(B386),"0"))</f>
        <v/>
      </c>
    </row>
    <row r="387" customFormat="false" ht="15" hidden="false" customHeight="false" outlineLevel="0" collapsed="false">
      <c r="B387" s="28"/>
      <c r="C387" s="24" t="str">
        <f aca="false">IF(B387="","",DATE(YEAR(B387),MONTH(B387),1))</f>
        <v/>
      </c>
      <c r="N387" s="26" t="str">
        <f aca="false">IF(L387="","",L387*M387)</f>
        <v/>
      </c>
      <c r="P387" s="26" t="str">
        <f aca="false">IF(L387="","",N387-L387*O387)</f>
        <v/>
      </c>
      <c r="T387" s="22" t="str">
        <f aca="false">IF(R387="","",IF(R387&lt;=Q387,"Yes","No"))</f>
        <v/>
      </c>
      <c r="U387" s="22" t="str">
        <f aca="false">IF(B387="","",TEXT(YEAR(B387),"0"))</f>
        <v/>
      </c>
    </row>
    <row r="388" customFormat="false" ht="15" hidden="false" customHeight="false" outlineLevel="0" collapsed="false">
      <c r="B388" s="28"/>
      <c r="C388" s="24" t="str">
        <f aca="false">IF(B388="","",DATE(YEAR(B388),MONTH(B388),1))</f>
        <v/>
      </c>
      <c r="N388" s="26" t="str">
        <f aca="false">IF(L388="","",L388*M388)</f>
        <v/>
      </c>
      <c r="P388" s="26" t="str">
        <f aca="false">IF(L388="","",N388-L388*O388)</f>
        <v/>
      </c>
      <c r="T388" s="22" t="str">
        <f aca="false">IF(R388="","",IF(R388&lt;=Q388,"Yes","No"))</f>
        <v/>
      </c>
      <c r="U388" s="22" t="str">
        <f aca="false">IF(B388="","",TEXT(YEAR(B388),"0"))</f>
        <v/>
      </c>
    </row>
    <row r="389" customFormat="false" ht="15" hidden="false" customHeight="false" outlineLevel="0" collapsed="false">
      <c r="B389" s="28"/>
      <c r="C389" s="24" t="str">
        <f aca="false">IF(B389="","",DATE(YEAR(B389),MONTH(B389),1))</f>
        <v/>
      </c>
      <c r="N389" s="26" t="str">
        <f aca="false">IF(L389="","",L389*M389)</f>
        <v/>
      </c>
      <c r="P389" s="26" t="str">
        <f aca="false">IF(L389="","",N389-L389*O389)</f>
        <v/>
      </c>
      <c r="T389" s="22" t="str">
        <f aca="false">IF(R389="","",IF(R389&lt;=Q389,"Yes","No"))</f>
        <v/>
      </c>
      <c r="U389" s="22" t="str">
        <f aca="false">IF(B389="","",TEXT(YEAR(B389),"0"))</f>
        <v/>
      </c>
    </row>
    <row r="390" customFormat="false" ht="15" hidden="false" customHeight="false" outlineLevel="0" collapsed="false">
      <c r="B390" s="28"/>
      <c r="C390" s="24" t="str">
        <f aca="false">IF(B390="","",DATE(YEAR(B390),MONTH(B390),1))</f>
        <v/>
      </c>
      <c r="N390" s="26" t="str">
        <f aca="false">IF(L390="","",L390*M390)</f>
        <v/>
      </c>
      <c r="P390" s="26" t="str">
        <f aca="false">IF(L390="","",N390-L390*O390)</f>
        <v/>
      </c>
      <c r="T390" s="22" t="str">
        <f aca="false">IF(R390="","",IF(R390&lt;=Q390,"Yes","No"))</f>
        <v/>
      </c>
      <c r="U390" s="22" t="str">
        <f aca="false">IF(B390="","",TEXT(YEAR(B390),"0"))</f>
        <v/>
      </c>
    </row>
    <row r="391" customFormat="false" ht="15" hidden="false" customHeight="false" outlineLevel="0" collapsed="false">
      <c r="B391" s="28"/>
      <c r="C391" s="24" t="str">
        <f aca="false">IF(B391="","",DATE(YEAR(B391),MONTH(B391),1))</f>
        <v/>
      </c>
      <c r="N391" s="26" t="str">
        <f aca="false">IF(L391="","",L391*M391)</f>
        <v/>
      </c>
      <c r="P391" s="26" t="str">
        <f aca="false">IF(L391="","",N391-L391*O391)</f>
        <v/>
      </c>
      <c r="T391" s="22" t="str">
        <f aca="false">IF(R391="","",IF(R391&lt;=Q391,"Yes","No"))</f>
        <v/>
      </c>
      <c r="U391" s="22" t="str">
        <f aca="false">IF(B391="","",TEXT(YEAR(B391),"0"))</f>
        <v/>
      </c>
    </row>
    <row r="392" customFormat="false" ht="15" hidden="false" customHeight="false" outlineLevel="0" collapsed="false">
      <c r="B392" s="28"/>
      <c r="C392" s="24" t="str">
        <f aca="false">IF(B392="","",DATE(YEAR(B392),MONTH(B392),1))</f>
        <v/>
      </c>
      <c r="N392" s="26" t="str">
        <f aca="false">IF(L392="","",L392*M392)</f>
        <v/>
      </c>
      <c r="P392" s="26" t="str">
        <f aca="false">IF(L392="","",N392-L392*O392)</f>
        <v/>
      </c>
      <c r="T392" s="22" t="str">
        <f aca="false">IF(R392="","",IF(R392&lt;=Q392,"Yes","No"))</f>
        <v/>
      </c>
      <c r="U392" s="22" t="str">
        <f aca="false">IF(B392="","",TEXT(YEAR(B392),"0"))</f>
        <v/>
      </c>
    </row>
    <row r="393" customFormat="false" ht="15" hidden="false" customHeight="false" outlineLevel="0" collapsed="false">
      <c r="B393" s="28"/>
      <c r="C393" s="24" t="str">
        <f aca="false">IF(B393="","",DATE(YEAR(B393),MONTH(B393),1))</f>
        <v/>
      </c>
      <c r="N393" s="26" t="str">
        <f aca="false">IF(L393="","",L393*M393)</f>
        <v/>
      </c>
      <c r="P393" s="26" t="str">
        <f aca="false">IF(L393="","",N393-L393*O393)</f>
        <v/>
      </c>
      <c r="T393" s="22" t="str">
        <f aca="false">IF(R393="","",IF(R393&lt;=Q393,"Yes","No"))</f>
        <v/>
      </c>
      <c r="U393" s="22" t="str">
        <f aca="false">IF(B393="","",TEXT(YEAR(B393),"0"))</f>
        <v/>
      </c>
    </row>
    <row r="394" customFormat="false" ht="15" hidden="false" customHeight="false" outlineLevel="0" collapsed="false">
      <c r="B394" s="28"/>
      <c r="C394" s="24" t="str">
        <f aca="false">IF(B394="","",DATE(YEAR(B394),MONTH(B394),1))</f>
        <v/>
      </c>
      <c r="N394" s="26" t="str">
        <f aca="false">IF(L394="","",L394*M394)</f>
        <v/>
      </c>
      <c r="P394" s="26" t="str">
        <f aca="false">IF(L394="","",N394-L394*O394)</f>
        <v/>
      </c>
      <c r="T394" s="22" t="str">
        <f aca="false">IF(R394="","",IF(R394&lt;=Q394,"Yes","No"))</f>
        <v/>
      </c>
      <c r="U394" s="22" t="str">
        <f aca="false">IF(B394="","",TEXT(YEAR(B394),"0"))</f>
        <v/>
      </c>
    </row>
    <row r="395" customFormat="false" ht="15" hidden="false" customHeight="false" outlineLevel="0" collapsed="false">
      <c r="B395" s="28"/>
      <c r="C395" s="24" t="str">
        <f aca="false">IF(B395="","",DATE(YEAR(B395),MONTH(B395),1))</f>
        <v/>
      </c>
      <c r="N395" s="26" t="str">
        <f aca="false">IF(L395="","",L395*M395)</f>
        <v/>
      </c>
      <c r="P395" s="26" t="str">
        <f aca="false">IF(L395="","",N395-L395*O395)</f>
        <v/>
      </c>
      <c r="T395" s="22" t="str">
        <f aca="false">IF(R395="","",IF(R395&lt;=Q395,"Yes","No"))</f>
        <v/>
      </c>
      <c r="U395" s="22" t="str">
        <f aca="false">IF(B395="","",TEXT(YEAR(B395),"0"))</f>
        <v/>
      </c>
    </row>
    <row r="396" customFormat="false" ht="15" hidden="false" customHeight="false" outlineLevel="0" collapsed="false">
      <c r="B396" s="28"/>
      <c r="C396" s="24" t="str">
        <f aca="false">IF(B396="","",DATE(YEAR(B396),MONTH(B396),1))</f>
        <v/>
      </c>
      <c r="N396" s="26" t="str">
        <f aca="false">IF(L396="","",L396*M396)</f>
        <v/>
      </c>
      <c r="P396" s="26" t="str">
        <f aca="false">IF(L396="","",N396-L396*O396)</f>
        <v/>
      </c>
      <c r="T396" s="22" t="str">
        <f aca="false">IF(R396="","",IF(R396&lt;=Q396,"Yes","No"))</f>
        <v/>
      </c>
      <c r="U396" s="22" t="str">
        <f aca="false">IF(B396="","",TEXT(YEAR(B396),"0"))</f>
        <v/>
      </c>
    </row>
    <row r="397" customFormat="false" ht="15" hidden="false" customHeight="false" outlineLevel="0" collapsed="false">
      <c r="B397" s="28"/>
      <c r="C397" s="24" t="str">
        <f aca="false">IF(B397="","",DATE(YEAR(B397),MONTH(B397),1))</f>
        <v/>
      </c>
      <c r="N397" s="26" t="str">
        <f aca="false">IF(L397="","",L397*M397)</f>
        <v/>
      </c>
      <c r="P397" s="26" t="str">
        <f aca="false">IF(L397="","",N397-L397*O397)</f>
        <v/>
      </c>
      <c r="T397" s="22" t="str">
        <f aca="false">IF(R397="","",IF(R397&lt;=Q397,"Yes","No"))</f>
        <v/>
      </c>
      <c r="U397" s="22" t="str">
        <f aca="false">IF(B397="","",TEXT(YEAR(B397),"0"))</f>
        <v/>
      </c>
    </row>
    <row r="398" customFormat="false" ht="15" hidden="false" customHeight="false" outlineLevel="0" collapsed="false">
      <c r="B398" s="28"/>
      <c r="C398" s="24" t="str">
        <f aca="false">IF(B398="","",DATE(YEAR(B398),MONTH(B398),1))</f>
        <v/>
      </c>
      <c r="N398" s="26" t="str">
        <f aca="false">IF(L398="","",L398*M398)</f>
        <v/>
      </c>
      <c r="P398" s="26" t="str">
        <f aca="false">IF(L398="","",N398-L398*O398)</f>
        <v/>
      </c>
      <c r="T398" s="22" t="str">
        <f aca="false">IF(R398="","",IF(R398&lt;=Q398,"Yes","No"))</f>
        <v/>
      </c>
      <c r="U398" s="22" t="str">
        <f aca="false">IF(B398="","",TEXT(YEAR(B398),"0"))</f>
        <v/>
      </c>
    </row>
    <row r="399" customFormat="false" ht="15" hidden="false" customHeight="false" outlineLevel="0" collapsed="false">
      <c r="B399" s="28"/>
      <c r="C399" s="24" t="str">
        <f aca="false">IF(B399="","",DATE(YEAR(B399),MONTH(B399),1))</f>
        <v/>
      </c>
      <c r="N399" s="26" t="str">
        <f aca="false">IF(L399="","",L399*M399)</f>
        <v/>
      </c>
      <c r="P399" s="26" t="str">
        <f aca="false">IF(L399="","",N399-L399*O399)</f>
        <v/>
      </c>
      <c r="T399" s="22" t="str">
        <f aca="false">IF(R399="","",IF(R399&lt;=Q399,"Yes","No"))</f>
        <v/>
      </c>
      <c r="U399" s="22" t="str">
        <f aca="false">IF(B399="","",TEXT(YEAR(B399),"0"))</f>
        <v/>
      </c>
    </row>
    <row r="400" customFormat="false" ht="15" hidden="false" customHeight="false" outlineLevel="0" collapsed="false">
      <c r="B400" s="28"/>
      <c r="C400" s="24" t="str">
        <f aca="false">IF(B400="","",DATE(YEAR(B400),MONTH(B400),1))</f>
        <v/>
      </c>
      <c r="N400" s="26" t="str">
        <f aca="false">IF(L400="","",L400*M400)</f>
        <v/>
      </c>
      <c r="P400" s="26" t="str">
        <f aca="false">IF(L400="","",N400-L400*O400)</f>
        <v/>
      </c>
      <c r="T400" s="22" t="str">
        <f aca="false">IF(R400="","",IF(R400&lt;=Q400,"Yes","No"))</f>
        <v/>
      </c>
      <c r="U400" s="22" t="str">
        <f aca="false">IF(B400="","",TEXT(YEAR(B400),"0"))</f>
        <v/>
      </c>
    </row>
    <row r="401" customFormat="false" ht="15" hidden="false" customHeight="false" outlineLevel="0" collapsed="false">
      <c r="B401" s="28"/>
      <c r="C401" s="24" t="str">
        <f aca="false">IF(B401="","",DATE(YEAR(B401),MONTH(B401),1))</f>
        <v/>
      </c>
      <c r="N401" s="26" t="str">
        <f aca="false">IF(L401="","",L401*M401)</f>
        <v/>
      </c>
      <c r="P401" s="26" t="str">
        <f aca="false">IF(L401="","",N401-L401*O401)</f>
        <v/>
      </c>
      <c r="T401" s="22" t="str">
        <f aca="false">IF(R401="","",IF(R401&lt;=Q401,"Yes","No"))</f>
        <v/>
      </c>
      <c r="U401" s="22" t="str">
        <f aca="false">IF(B401="","",TEXT(YEAR(B401),"0"))</f>
        <v/>
      </c>
    </row>
    <row r="402" customFormat="false" ht="15" hidden="false" customHeight="false" outlineLevel="0" collapsed="false">
      <c r="B402" s="28"/>
      <c r="C402" s="24" t="str">
        <f aca="false">IF(B402="","",DATE(YEAR(B402),MONTH(B402),1))</f>
        <v/>
      </c>
      <c r="N402" s="26" t="str">
        <f aca="false">IF(L402="","",L402*M402)</f>
        <v/>
      </c>
      <c r="P402" s="26" t="str">
        <f aca="false">IF(L402="","",N402-L402*O402)</f>
        <v/>
      </c>
      <c r="T402" s="22" t="str">
        <f aca="false">IF(R402="","",IF(R402&lt;=Q402,"Yes","No"))</f>
        <v/>
      </c>
      <c r="U402" s="22" t="str">
        <f aca="false">IF(B402="","",TEXT(YEAR(B402),"0"))</f>
        <v/>
      </c>
    </row>
    <row r="403" customFormat="false" ht="15" hidden="false" customHeight="false" outlineLevel="0" collapsed="false">
      <c r="B403" s="28"/>
      <c r="C403" s="24" t="str">
        <f aca="false">IF(B403="","",DATE(YEAR(B403),MONTH(B403),1))</f>
        <v/>
      </c>
      <c r="N403" s="26" t="str">
        <f aca="false">IF(L403="","",L403*M403)</f>
        <v/>
      </c>
      <c r="P403" s="26" t="str">
        <f aca="false">IF(L403="","",N403-L403*O403)</f>
        <v/>
      </c>
      <c r="T403" s="22" t="str">
        <f aca="false">IF(R403="","",IF(R403&lt;=Q403,"Yes","No"))</f>
        <v/>
      </c>
      <c r="U403" s="22" t="str">
        <f aca="false">IF(B403="","",TEXT(YEAR(B403),"0"))</f>
        <v/>
      </c>
    </row>
    <row r="404" customFormat="false" ht="15" hidden="false" customHeight="false" outlineLevel="0" collapsed="false">
      <c r="B404" s="28"/>
      <c r="C404" s="24" t="str">
        <f aca="false">IF(B404="","",DATE(YEAR(B404),MONTH(B404),1))</f>
        <v/>
      </c>
      <c r="N404" s="26" t="str">
        <f aca="false">IF(L404="","",L404*M404)</f>
        <v/>
      </c>
      <c r="P404" s="26" t="str">
        <f aca="false">IF(L404="","",N404-L404*O404)</f>
        <v/>
      </c>
      <c r="T404" s="22" t="str">
        <f aca="false">IF(R404="","",IF(R404&lt;=Q404,"Yes","No"))</f>
        <v/>
      </c>
      <c r="U404" s="22" t="str">
        <f aca="false">IF(B404="","",TEXT(YEAR(B404),"0"))</f>
        <v/>
      </c>
    </row>
    <row r="405" customFormat="false" ht="15" hidden="false" customHeight="false" outlineLevel="0" collapsed="false">
      <c r="B405" s="28"/>
      <c r="C405" s="24" t="str">
        <f aca="false">IF(B405="","",DATE(YEAR(B405),MONTH(B405),1))</f>
        <v/>
      </c>
      <c r="N405" s="26" t="str">
        <f aca="false">IF(L405="","",L405*M405)</f>
        <v/>
      </c>
      <c r="P405" s="26" t="str">
        <f aca="false">IF(L405="","",N405-L405*O405)</f>
        <v/>
      </c>
      <c r="T405" s="22" t="str">
        <f aca="false">IF(R405="","",IF(R405&lt;=Q405,"Yes","No"))</f>
        <v/>
      </c>
      <c r="U405" s="22" t="str">
        <f aca="false">IF(B405="","",TEXT(YEAR(B405),"0"))</f>
        <v/>
      </c>
    </row>
    <row r="406" customFormat="false" ht="15" hidden="false" customHeight="false" outlineLevel="0" collapsed="false">
      <c r="B406" s="28"/>
      <c r="C406" s="24" t="str">
        <f aca="false">IF(B406="","",DATE(YEAR(B406),MONTH(B406),1))</f>
        <v/>
      </c>
      <c r="N406" s="26" t="str">
        <f aca="false">IF(L406="","",L406*M406)</f>
        <v/>
      </c>
      <c r="P406" s="26" t="str">
        <f aca="false">IF(L406="","",N406-L406*O406)</f>
        <v/>
      </c>
      <c r="T406" s="22" t="str">
        <f aca="false">IF(R406="","",IF(R406&lt;=Q406,"Yes","No"))</f>
        <v/>
      </c>
      <c r="U406" s="22" t="str">
        <f aca="false">IF(B406="","",TEXT(YEAR(B406),"0"))</f>
        <v/>
      </c>
    </row>
    <row r="407" customFormat="false" ht="15" hidden="false" customHeight="false" outlineLevel="0" collapsed="false">
      <c r="B407" s="28"/>
      <c r="C407" s="24" t="str">
        <f aca="false">IF(B407="","",DATE(YEAR(B407),MONTH(B407),1))</f>
        <v/>
      </c>
      <c r="N407" s="26" t="str">
        <f aca="false">IF(L407="","",L407*M407)</f>
        <v/>
      </c>
      <c r="P407" s="26" t="str">
        <f aca="false">IF(L407="","",N407-L407*O407)</f>
        <v/>
      </c>
      <c r="T407" s="22" t="str">
        <f aca="false">IF(R407="","",IF(R407&lt;=Q407,"Yes","No"))</f>
        <v/>
      </c>
      <c r="U407" s="22" t="str">
        <f aca="false">IF(B407="","",TEXT(YEAR(B407),"0"))</f>
        <v/>
      </c>
    </row>
    <row r="408" customFormat="false" ht="15" hidden="false" customHeight="false" outlineLevel="0" collapsed="false">
      <c r="B408" s="28"/>
      <c r="C408" s="24" t="str">
        <f aca="false">IF(B408="","",DATE(YEAR(B408),MONTH(B408),1))</f>
        <v/>
      </c>
      <c r="N408" s="26" t="str">
        <f aca="false">IF(L408="","",L408*M408)</f>
        <v/>
      </c>
      <c r="P408" s="26" t="str">
        <f aca="false">IF(L408="","",N408-L408*O408)</f>
        <v/>
      </c>
      <c r="T408" s="22" t="str">
        <f aca="false">IF(R408="","",IF(R408&lt;=Q408,"Yes","No"))</f>
        <v/>
      </c>
      <c r="U408" s="22" t="str">
        <f aca="false">IF(B408="","",TEXT(YEAR(B408),"0"))</f>
        <v/>
      </c>
    </row>
    <row r="409" customFormat="false" ht="15" hidden="false" customHeight="false" outlineLevel="0" collapsed="false">
      <c r="B409" s="28"/>
      <c r="C409" s="24" t="str">
        <f aca="false">IF(B409="","",DATE(YEAR(B409),MONTH(B409),1))</f>
        <v/>
      </c>
      <c r="N409" s="26" t="str">
        <f aca="false">IF(L409="","",L409*M409)</f>
        <v/>
      </c>
      <c r="P409" s="26" t="str">
        <f aca="false">IF(L409="","",N409-L409*O409)</f>
        <v/>
      </c>
      <c r="T409" s="22" t="str">
        <f aca="false">IF(R409="","",IF(R409&lt;=Q409,"Yes","No"))</f>
        <v/>
      </c>
      <c r="U409" s="22" t="str">
        <f aca="false">IF(B409="","",TEXT(YEAR(B409),"0"))</f>
        <v/>
      </c>
    </row>
    <row r="410" customFormat="false" ht="15" hidden="false" customHeight="false" outlineLevel="0" collapsed="false">
      <c r="B410" s="28"/>
      <c r="C410" s="24" t="str">
        <f aca="false">IF(B410="","",DATE(YEAR(B410),MONTH(B410),1))</f>
        <v/>
      </c>
      <c r="N410" s="26" t="str">
        <f aca="false">IF(L410="","",L410*M410)</f>
        <v/>
      </c>
      <c r="P410" s="26" t="str">
        <f aca="false">IF(L410="","",N410-L410*O410)</f>
        <v/>
      </c>
      <c r="T410" s="22" t="str">
        <f aca="false">IF(R410="","",IF(R410&lt;=Q410,"Yes","No"))</f>
        <v/>
      </c>
      <c r="U410" s="22" t="str">
        <f aca="false">IF(B410="","",TEXT(YEAR(B410),"0"))</f>
        <v/>
      </c>
    </row>
    <row r="411" customFormat="false" ht="15" hidden="false" customHeight="false" outlineLevel="0" collapsed="false">
      <c r="B411" s="28"/>
      <c r="C411" s="24" t="str">
        <f aca="false">IF(B411="","",DATE(YEAR(B411),MONTH(B411),1))</f>
        <v/>
      </c>
      <c r="N411" s="26" t="str">
        <f aca="false">IF(L411="","",L411*M411)</f>
        <v/>
      </c>
      <c r="P411" s="26" t="str">
        <f aca="false">IF(L411="","",N411-L411*O411)</f>
        <v/>
      </c>
      <c r="T411" s="22" t="str">
        <f aca="false">IF(R411="","",IF(R411&lt;=Q411,"Yes","No"))</f>
        <v/>
      </c>
      <c r="U411" s="22" t="str">
        <f aca="false">IF(B411="","",TEXT(YEAR(B411),"0"))</f>
        <v/>
      </c>
    </row>
    <row r="412" customFormat="false" ht="15" hidden="false" customHeight="false" outlineLevel="0" collapsed="false">
      <c r="B412" s="28"/>
      <c r="C412" s="24" t="str">
        <f aca="false">IF(B412="","",DATE(YEAR(B412),MONTH(B412),1))</f>
        <v/>
      </c>
      <c r="N412" s="26" t="str">
        <f aca="false">IF(L412="","",L412*M412)</f>
        <v/>
      </c>
      <c r="P412" s="26" t="str">
        <f aca="false">IF(L412="","",N412-L412*O412)</f>
        <v/>
      </c>
      <c r="T412" s="22" t="str">
        <f aca="false">IF(R412="","",IF(R412&lt;=Q412,"Yes","No"))</f>
        <v/>
      </c>
      <c r="U412" s="22" t="str">
        <f aca="false">IF(B412="","",TEXT(YEAR(B412),"0"))</f>
        <v/>
      </c>
    </row>
    <row r="413" customFormat="false" ht="15" hidden="false" customHeight="false" outlineLevel="0" collapsed="false">
      <c r="B413" s="28"/>
      <c r="C413" s="24" t="str">
        <f aca="false">IF(B413="","",DATE(YEAR(B413),MONTH(B413),1))</f>
        <v/>
      </c>
      <c r="N413" s="26" t="str">
        <f aca="false">IF(L413="","",L413*M413)</f>
        <v/>
      </c>
      <c r="P413" s="26" t="str">
        <f aca="false">IF(L413="","",N413-L413*O413)</f>
        <v/>
      </c>
      <c r="T413" s="22" t="str">
        <f aca="false">IF(R413="","",IF(R413&lt;=Q413,"Yes","No"))</f>
        <v/>
      </c>
      <c r="U413" s="22" t="str">
        <f aca="false">IF(B413="","",TEXT(YEAR(B413),"0"))</f>
        <v/>
      </c>
    </row>
    <row r="414" customFormat="false" ht="15" hidden="false" customHeight="false" outlineLevel="0" collapsed="false">
      <c r="B414" s="28"/>
      <c r="C414" s="24" t="str">
        <f aca="false">IF(B414="","",DATE(YEAR(B414),MONTH(B414),1))</f>
        <v/>
      </c>
      <c r="N414" s="26" t="str">
        <f aca="false">IF(L414="","",L414*M414)</f>
        <v/>
      </c>
      <c r="P414" s="26" t="str">
        <f aca="false">IF(L414="","",N414-L414*O414)</f>
        <v/>
      </c>
      <c r="T414" s="22" t="str">
        <f aca="false">IF(R414="","",IF(R414&lt;=Q414,"Yes","No"))</f>
        <v/>
      </c>
      <c r="U414" s="22" t="str">
        <f aca="false">IF(B414="","",TEXT(YEAR(B414),"0"))</f>
        <v/>
      </c>
    </row>
    <row r="415" customFormat="false" ht="15" hidden="false" customHeight="false" outlineLevel="0" collapsed="false">
      <c r="B415" s="28"/>
      <c r="C415" s="24" t="str">
        <f aca="false">IF(B415="","",DATE(YEAR(B415),MONTH(B415),1))</f>
        <v/>
      </c>
      <c r="N415" s="26" t="str">
        <f aca="false">IF(L415="","",L415*M415)</f>
        <v/>
      </c>
      <c r="P415" s="26" t="str">
        <f aca="false">IF(L415="","",N415-L415*O415)</f>
        <v/>
      </c>
      <c r="T415" s="22" t="str">
        <f aca="false">IF(R415="","",IF(R415&lt;=Q415,"Yes","No"))</f>
        <v/>
      </c>
      <c r="U415" s="22" t="str">
        <f aca="false">IF(B415="","",TEXT(YEAR(B415),"0"))</f>
        <v/>
      </c>
    </row>
    <row r="416" customFormat="false" ht="15" hidden="false" customHeight="false" outlineLevel="0" collapsed="false">
      <c r="B416" s="28"/>
      <c r="C416" s="24" t="str">
        <f aca="false">IF(B416="","",DATE(YEAR(B416),MONTH(B416),1))</f>
        <v/>
      </c>
      <c r="N416" s="26" t="str">
        <f aca="false">IF(L416="","",L416*M416)</f>
        <v/>
      </c>
      <c r="P416" s="26" t="str">
        <f aca="false">IF(L416="","",N416-L416*O416)</f>
        <v/>
      </c>
      <c r="T416" s="22" t="str">
        <f aca="false">IF(R416="","",IF(R416&lt;=Q416,"Yes","No"))</f>
        <v/>
      </c>
      <c r="U416" s="22" t="str">
        <f aca="false">IF(B416="","",TEXT(YEAR(B416),"0"))</f>
        <v/>
      </c>
    </row>
    <row r="417" customFormat="false" ht="15" hidden="false" customHeight="false" outlineLevel="0" collapsed="false">
      <c r="B417" s="28"/>
      <c r="C417" s="24" t="str">
        <f aca="false">IF(B417="","",DATE(YEAR(B417),MONTH(B417),1))</f>
        <v/>
      </c>
      <c r="N417" s="26" t="str">
        <f aca="false">IF(L417="","",L417*M417)</f>
        <v/>
      </c>
      <c r="P417" s="26" t="str">
        <f aca="false">IF(L417="","",N417-L417*O417)</f>
        <v/>
      </c>
      <c r="T417" s="22" t="str">
        <f aca="false">IF(R417="","",IF(R417&lt;=Q417,"Yes","No"))</f>
        <v/>
      </c>
      <c r="U417" s="22" t="str">
        <f aca="false">IF(B417="","",TEXT(YEAR(B417),"0"))</f>
        <v/>
      </c>
    </row>
    <row r="418" customFormat="false" ht="15" hidden="false" customHeight="false" outlineLevel="0" collapsed="false">
      <c r="B418" s="28"/>
      <c r="C418" s="24" t="str">
        <f aca="false">IF(B418="","",DATE(YEAR(B418),MONTH(B418),1))</f>
        <v/>
      </c>
      <c r="N418" s="26" t="str">
        <f aca="false">IF(L418="","",L418*M418)</f>
        <v/>
      </c>
      <c r="P418" s="26" t="str">
        <f aca="false">IF(L418="","",N418-L418*O418)</f>
        <v/>
      </c>
      <c r="T418" s="22" t="str">
        <f aca="false">IF(R418="","",IF(R418&lt;=Q418,"Yes","No"))</f>
        <v/>
      </c>
      <c r="U418" s="22" t="str">
        <f aca="false">IF(B418="","",TEXT(YEAR(B418),"0"))</f>
        <v/>
      </c>
    </row>
    <row r="419" customFormat="false" ht="15" hidden="false" customHeight="false" outlineLevel="0" collapsed="false">
      <c r="B419" s="28"/>
      <c r="C419" s="24" t="str">
        <f aca="false">IF(B419="","",DATE(YEAR(B419),MONTH(B419),1))</f>
        <v/>
      </c>
      <c r="N419" s="26" t="str">
        <f aca="false">IF(L419="","",L419*M419)</f>
        <v/>
      </c>
      <c r="P419" s="26" t="str">
        <f aca="false">IF(L419="","",N419-L419*O419)</f>
        <v/>
      </c>
      <c r="T419" s="22" t="str">
        <f aca="false">IF(R419="","",IF(R419&lt;=Q419,"Yes","No"))</f>
        <v/>
      </c>
      <c r="U419" s="22" t="str">
        <f aca="false">IF(B419="","",TEXT(YEAR(B419),"0"))</f>
        <v/>
      </c>
    </row>
    <row r="420" customFormat="false" ht="15" hidden="false" customHeight="false" outlineLevel="0" collapsed="false">
      <c r="B420" s="28"/>
      <c r="C420" s="24" t="str">
        <f aca="false">IF(B420="","",DATE(YEAR(B420),MONTH(B420),1))</f>
        <v/>
      </c>
      <c r="N420" s="26" t="str">
        <f aca="false">IF(L420="","",L420*M420)</f>
        <v/>
      </c>
      <c r="P420" s="26" t="str">
        <f aca="false">IF(L420="","",N420-L420*O420)</f>
        <v/>
      </c>
      <c r="T420" s="22" t="str">
        <f aca="false">IF(R420="","",IF(R420&lt;=Q420,"Yes","No"))</f>
        <v/>
      </c>
      <c r="U420" s="22" t="str">
        <f aca="false">IF(B420="","",TEXT(YEAR(B420),"0"))</f>
        <v/>
      </c>
    </row>
    <row r="421" customFormat="false" ht="15" hidden="false" customHeight="false" outlineLevel="0" collapsed="false">
      <c r="B421" s="28"/>
      <c r="C421" s="24" t="str">
        <f aca="false">IF(B421="","",DATE(YEAR(B421),MONTH(B421),1))</f>
        <v/>
      </c>
      <c r="N421" s="26" t="str">
        <f aca="false">IF(L421="","",L421*M421)</f>
        <v/>
      </c>
      <c r="P421" s="26" t="str">
        <f aca="false">IF(L421="","",N421-L421*O421)</f>
        <v/>
      </c>
      <c r="T421" s="22" t="str">
        <f aca="false">IF(R421="","",IF(R421&lt;=Q421,"Yes","No"))</f>
        <v/>
      </c>
      <c r="U421" s="22" t="str">
        <f aca="false">IF(B421="","",TEXT(YEAR(B421),"0"))</f>
        <v/>
      </c>
    </row>
    <row r="422" customFormat="false" ht="15" hidden="false" customHeight="false" outlineLevel="0" collapsed="false">
      <c r="B422" s="28"/>
      <c r="C422" s="24" t="str">
        <f aca="false">IF(B422="","",DATE(YEAR(B422),MONTH(B422),1))</f>
        <v/>
      </c>
      <c r="N422" s="26" t="str">
        <f aca="false">IF(L422="","",L422*M422)</f>
        <v/>
      </c>
      <c r="P422" s="26" t="str">
        <f aca="false">IF(L422="","",N422-L422*O422)</f>
        <v/>
      </c>
      <c r="T422" s="22" t="str">
        <f aca="false">IF(R422="","",IF(R422&lt;=Q422,"Yes","No"))</f>
        <v/>
      </c>
      <c r="U422" s="22" t="str">
        <f aca="false">IF(B422="","",TEXT(YEAR(B422),"0"))</f>
        <v/>
      </c>
    </row>
    <row r="423" customFormat="false" ht="15" hidden="false" customHeight="false" outlineLevel="0" collapsed="false">
      <c r="B423" s="28"/>
      <c r="C423" s="24" t="str">
        <f aca="false">IF(B423="","",DATE(YEAR(B423),MONTH(B423),1))</f>
        <v/>
      </c>
      <c r="N423" s="26" t="str">
        <f aca="false">IF(L423="","",L423*M423)</f>
        <v/>
      </c>
      <c r="P423" s="26" t="str">
        <f aca="false">IF(L423="","",N423-L423*O423)</f>
        <v/>
      </c>
      <c r="T423" s="22" t="str">
        <f aca="false">IF(R423="","",IF(R423&lt;=Q423,"Yes","No"))</f>
        <v/>
      </c>
      <c r="U423" s="22" t="str">
        <f aca="false">IF(B423="","",TEXT(YEAR(B423),"0"))</f>
        <v/>
      </c>
    </row>
    <row r="424" customFormat="false" ht="15" hidden="false" customHeight="false" outlineLevel="0" collapsed="false">
      <c r="B424" s="28"/>
      <c r="C424" s="24" t="str">
        <f aca="false">IF(B424="","",DATE(YEAR(B424),MONTH(B424),1))</f>
        <v/>
      </c>
      <c r="N424" s="26" t="str">
        <f aca="false">IF(L424="","",L424*M424)</f>
        <v/>
      </c>
      <c r="P424" s="26" t="str">
        <f aca="false">IF(L424="","",N424-L424*O424)</f>
        <v/>
      </c>
      <c r="T424" s="22" t="str">
        <f aca="false">IF(R424="","",IF(R424&lt;=Q424,"Yes","No"))</f>
        <v/>
      </c>
      <c r="U424" s="22" t="str">
        <f aca="false">IF(B424="","",TEXT(YEAR(B424),"0"))</f>
        <v/>
      </c>
    </row>
    <row r="425" customFormat="false" ht="15" hidden="false" customHeight="false" outlineLevel="0" collapsed="false">
      <c r="B425" s="28"/>
      <c r="C425" s="24" t="str">
        <f aca="false">IF(B425="","",DATE(YEAR(B425),MONTH(B425),1))</f>
        <v/>
      </c>
      <c r="N425" s="26" t="str">
        <f aca="false">IF(L425="","",L425*M425)</f>
        <v/>
      </c>
      <c r="P425" s="26" t="str">
        <f aca="false">IF(L425="","",N425-L425*O425)</f>
        <v/>
      </c>
      <c r="T425" s="22" t="str">
        <f aca="false">IF(R425="","",IF(R425&lt;=Q425,"Yes","No"))</f>
        <v/>
      </c>
      <c r="U425" s="22" t="str">
        <f aca="false">IF(B425="","",TEXT(YEAR(B425),"0"))</f>
        <v/>
      </c>
    </row>
    <row r="426" customFormat="false" ht="15" hidden="false" customHeight="false" outlineLevel="0" collapsed="false">
      <c r="B426" s="28"/>
      <c r="C426" s="24" t="str">
        <f aca="false">IF(B426="","",DATE(YEAR(B426),MONTH(B426),1))</f>
        <v/>
      </c>
      <c r="N426" s="26" t="str">
        <f aca="false">IF(L426="","",L426*M426)</f>
        <v/>
      </c>
      <c r="P426" s="26" t="str">
        <f aca="false">IF(L426="","",N426-L426*O426)</f>
        <v/>
      </c>
      <c r="T426" s="22" t="str">
        <f aca="false">IF(R426="","",IF(R426&lt;=Q426,"Yes","No"))</f>
        <v/>
      </c>
      <c r="U426" s="22" t="str">
        <f aca="false">IF(B426="","",TEXT(YEAR(B426),"0"))</f>
        <v/>
      </c>
    </row>
    <row r="427" customFormat="false" ht="15" hidden="false" customHeight="false" outlineLevel="0" collapsed="false">
      <c r="B427" s="28"/>
      <c r="C427" s="24" t="str">
        <f aca="false">IF(B427="","",DATE(YEAR(B427),MONTH(B427),1))</f>
        <v/>
      </c>
      <c r="N427" s="26" t="str">
        <f aca="false">IF(L427="","",L427*M427)</f>
        <v/>
      </c>
      <c r="P427" s="26" t="str">
        <f aca="false">IF(L427="","",N427-L427*O427)</f>
        <v/>
      </c>
      <c r="T427" s="22" t="str">
        <f aca="false">IF(R427="","",IF(R427&lt;=Q427,"Yes","No"))</f>
        <v/>
      </c>
      <c r="U427" s="22" t="str">
        <f aca="false">IF(B427="","",TEXT(YEAR(B427),"0"))</f>
        <v/>
      </c>
    </row>
    <row r="428" customFormat="false" ht="15" hidden="false" customHeight="false" outlineLevel="0" collapsed="false">
      <c r="B428" s="28"/>
      <c r="C428" s="24" t="str">
        <f aca="false">IF(B428="","",DATE(YEAR(B428),MONTH(B428),1))</f>
        <v/>
      </c>
      <c r="N428" s="26" t="str">
        <f aca="false">IF(L428="","",L428*M428)</f>
        <v/>
      </c>
      <c r="P428" s="26" t="str">
        <f aca="false">IF(L428="","",N428-L428*O428)</f>
        <v/>
      </c>
      <c r="T428" s="22" t="str">
        <f aca="false">IF(R428="","",IF(R428&lt;=Q428,"Yes","No"))</f>
        <v/>
      </c>
      <c r="U428" s="22" t="str">
        <f aca="false">IF(B428="","",TEXT(YEAR(B428),"0"))</f>
        <v/>
      </c>
    </row>
    <row r="429" customFormat="false" ht="15" hidden="false" customHeight="false" outlineLevel="0" collapsed="false">
      <c r="B429" s="28"/>
      <c r="C429" s="24" t="str">
        <f aca="false">IF(B429="","",DATE(YEAR(B429),MONTH(B429),1))</f>
        <v/>
      </c>
      <c r="N429" s="26" t="str">
        <f aca="false">IF(L429="","",L429*M429)</f>
        <v/>
      </c>
      <c r="P429" s="26" t="str">
        <f aca="false">IF(L429="","",N429-L429*O429)</f>
        <v/>
      </c>
      <c r="T429" s="22" t="str">
        <f aca="false">IF(R429="","",IF(R429&lt;=Q429,"Yes","No"))</f>
        <v/>
      </c>
      <c r="U429" s="22" t="str">
        <f aca="false">IF(B429="","",TEXT(YEAR(B429),"0"))</f>
        <v/>
      </c>
    </row>
    <row r="430" customFormat="false" ht="15" hidden="false" customHeight="false" outlineLevel="0" collapsed="false">
      <c r="B430" s="28"/>
      <c r="C430" s="24" t="str">
        <f aca="false">IF(B430="","",DATE(YEAR(B430),MONTH(B430),1))</f>
        <v/>
      </c>
      <c r="N430" s="26" t="str">
        <f aca="false">IF(L430="","",L430*M430)</f>
        <v/>
      </c>
      <c r="P430" s="26" t="str">
        <f aca="false">IF(L430="","",N430-L430*O430)</f>
        <v/>
      </c>
      <c r="T430" s="22" t="str">
        <f aca="false">IF(R430="","",IF(R430&lt;=Q430,"Yes","No"))</f>
        <v/>
      </c>
      <c r="U430" s="22" t="str">
        <f aca="false">IF(B430="","",TEXT(YEAR(B430),"0"))</f>
        <v/>
      </c>
    </row>
    <row r="431" customFormat="false" ht="15" hidden="false" customHeight="false" outlineLevel="0" collapsed="false">
      <c r="B431" s="28"/>
      <c r="C431" s="24" t="str">
        <f aca="false">IF(B431="","",DATE(YEAR(B431),MONTH(B431),1))</f>
        <v/>
      </c>
      <c r="N431" s="26" t="str">
        <f aca="false">IF(L431="","",L431*M431)</f>
        <v/>
      </c>
      <c r="P431" s="26" t="str">
        <f aca="false">IF(L431="","",N431-L431*O431)</f>
        <v/>
      </c>
      <c r="T431" s="22" t="str">
        <f aca="false">IF(R431="","",IF(R431&lt;=Q431,"Yes","No"))</f>
        <v/>
      </c>
      <c r="U431" s="22" t="str">
        <f aca="false">IF(B431="","",TEXT(YEAR(B431),"0"))</f>
        <v/>
      </c>
    </row>
    <row r="432" customFormat="false" ht="15" hidden="false" customHeight="false" outlineLevel="0" collapsed="false">
      <c r="B432" s="28"/>
      <c r="C432" s="24" t="str">
        <f aca="false">IF(B432="","",DATE(YEAR(B432),MONTH(B432),1))</f>
        <v/>
      </c>
      <c r="N432" s="26" t="str">
        <f aca="false">IF(L432="","",L432*M432)</f>
        <v/>
      </c>
      <c r="P432" s="26" t="str">
        <f aca="false">IF(L432="","",N432-L432*O432)</f>
        <v/>
      </c>
      <c r="T432" s="22" t="str">
        <f aca="false">IF(R432="","",IF(R432&lt;=Q432,"Yes","No"))</f>
        <v/>
      </c>
      <c r="U432" s="22" t="str">
        <f aca="false">IF(B432="","",TEXT(YEAR(B432),"0"))</f>
        <v/>
      </c>
    </row>
    <row r="433" customFormat="false" ht="15" hidden="false" customHeight="false" outlineLevel="0" collapsed="false">
      <c r="B433" s="28"/>
      <c r="C433" s="24" t="str">
        <f aca="false">IF(B433="","",DATE(YEAR(B433),MONTH(B433),1))</f>
        <v/>
      </c>
      <c r="N433" s="26" t="str">
        <f aca="false">IF(L433="","",L433*M433)</f>
        <v/>
      </c>
      <c r="P433" s="26" t="str">
        <f aca="false">IF(L433="","",N433-L433*O433)</f>
        <v/>
      </c>
      <c r="T433" s="22" t="str">
        <f aca="false">IF(R433="","",IF(R433&lt;=Q433,"Yes","No"))</f>
        <v/>
      </c>
      <c r="U433" s="22" t="str">
        <f aca="false">IF(B433="","",TEXT(YEAR(B433),"0"))</f>
        <v/>
      </c>
    </row>
    <row r="434" customFormat="false" ht="15" hidden="false" customHeight="false" outlineLevel="0" collapsed="false">
      <c r="B434" s="28"/>
      <c r="C434" s="24" t="str">
        <f aca="false">IF(B434="","",DATE(YEAR(B434),MONTH(B434),1))</f>
        <v/>
      </c>
      <c r="N434" s="26" t="str">
        <f aca="false">IF(L434="","",L434*M434)</f>
        <v/>
      </c>
      <c r="P434" s="26" t="str">
        <f aca="false">IF(L434="","",N434-L434*O434)</f>
        <v/>
      </c>
      <c r="T434" s="22" t="str">
        <f aca="false">IF(R434="","",IF(R434&lt;=Q434,"Yes","No"))</f>
        <v/>
      </c>
      <c r="U434" s="22" t="str">
        <f aca="false">IF(B434="","",TEXT(YEAR(B434),"0"))</f>
        <v/>
      </c>
    </row>
    <row r="435" customFormat="false" ht="15" hidden="false" customHeight="false" outlineLevel="0" collapsed="false">
      <c r="B435" s="28"/>
      <c r="C435" s="24" t="str">
        <f aca="false">IF(B435="","",DATE(YEAR(B435),MONTH(B435),1))</f>
        <v/>
      </c>
      <c r="N435" s="26" t="str">
        <f aca="false">IF(L435="","",L435*M435)</f>
        <v/>
      </c>
      <c r="P435" s="26" t="str">
        <f aca="false">IF(L435="","",N435-L435*O435)</f>
        <v/>
      </c>
      <c r="T435" s="22" t="str">
        <f aca="false">IF(R435="","",IF(R435&lt;=Q435,"Yes","No"))</f>
        <v/>
      </c>
      <c r="U435" s="22" t="str">
        <f aca="false">IF(B435="","",TEXT(YEAR(B435),"0"))</f>
        <v/>
      </c>
    </row>
    <row r="436" customFormat="false" ht="15" hidden="false" customHeight="false" outlineLevel="0" collapsed="false">
      <c r="B436" s="28"/>
      <c r="C436" s="24" t="str">
        <f aca="false">IF(B436="","",DATE(YEAR(B436),MONTH(B436),1))</f>
        <v/>
      </c>
      <c r="N436" s="26" t="str">
        <f aca="false">IF(L436="","",L436*M436)</f>
        <v/>
      </c>
      <c r="P436" s="26" t="str">
        <f aca="false">IF(L436="","",N436-L436*O436)</f>
        <v/>
      </c>
      <c r="T436" s="22" t="str">
        <f aca="false">IF(R436="","",IF(R436&lt;=Q436,"Yes","No"))</f>
        <v/>
      </c>
      <c r="U436" s="22" t="str">
        <f aca="false">IF(B436="","",TEXT(YEAR(B436),"0"))</f>
        <v/>
      </c>
    </row>
    <row r="437" customFormat="false" ht="15" hidden="false" customHeight="false" outlineLevel="0" collapsed="false">
      <c r="B437" s="28"/>
      <c r="C437" s="24" t="str">
        <f aca="false">IF(B437="","",DATE(YEAR(B437),MONTH(B437),1))</f>
        <v/>
      </c>
      <c r="N437" s="26" t="str">
        <f aca="false">IF(L437="","",L437*M437)</f>
        <v/>
      </c>
      <c r="P437" s="26" t="str">
        <f aca="false">IF(L437="","",N437-L437*O437)</f>
        <v/>
      </c>
      <c r="T437" s="22" t="str">
        <f aca="false">IF(R437="","",IF(R437&lt;=Q437,"Yes","No"))</f>
        <v/>
      </c>
      <c r="U437" s="22" t="str">
        <f aca="false">IF(B437="","",TEXT(YEAR(B437),"0"))</f>
        <v/>
      </c>
    </row>
    <row r="438" customFormat="false" ht="15" hidden="false" customHeight="false" outlineLevel="0" collapsed="false">
      <c r="B438" s="28"/>
      <c r="C438" s="24" t="str">
        <f aca="false">IF(B438="","",DATE(YEAR(B438),MONTH(B438),1))</f>
        <v/>
      </c>
      <c r="N438" s="26" t="str">
        <f aca="false">IF(L438="","",L438*M438)</f>
        <v/>
      </c>
      <c r="P438" s="26" t="str">
        <f aca="false">IF(L438="","",N438-L438*O438)</f>
        <v/>
      </c>
      <c r="T438" s="22" t="str">
        <f aca="false">IF(R438="","",IF(R438&lt;=Q438,"Yes","No"))</f>
        <v/>
      </c>
      <c r="U438" s="22" t="str">
        <f aca="false">IF(B438="","",TEXT(YEAR(B438),"0"))</f>
        <v/>
      </c>
    </row>
    <row r="439" customFormat="false" ht="15" hidden="false" customHeight="false" outlineLevel="0" collapsed="false">
      <c r="B439" s="28"/>
      <c r="C439" s="24" t="str">
        <f aca="false">IF(B439="","",DATE(YEAR(B439),MONTH(B439),1))</f>
        <v/>
      </c>
      <c r="N439" s="26" t="str">
        <f aca="false">IF(L439="","",L439*M439)</f>
        <v/>
      </c>
      <c r="P439" s="26" t="str">
        <f aca="false">IF(L439="","",N439-L439*O439)</f>
        <v/>
      </c>
      <c r="T439" s="22" t="str">
        <f aca="false">IF(R439="","",IF(R439&lt;=Q439,"Yes","No"))</f>
        <v/>
      </c>
      <c r="U439" s="22" t="str">
        <f aca="false">IF(B439="","",TEXT(YEAR(B439),"0"))</f>
        <v/>
      </c>
    </row>
    <row r="440" customFormat="false" ht="15" hidden="false" customHeight="false" outlineLevel="0" collapsed="false">
      <c r="B440" s="28"/>
      <c r="C440" s="24" t="str">
        <f aca="false">IF(B440="","",DATE(YEAR(B440),MONTH(B440),1))</f>
        <v/>
      </c>
      <c r="N440" s="26" t="str">
        <f aca="false">IF(L440="","",L440*M440)</f>
        <v/>
      </c>
      <c r="P440" s="26" t="str">
        <f aca="false">IF(L440="","",N440-L440*O440)</f>
        <v/>
      </c>
      <c r="T440" s="22" t="str">
        <f aca="false">IF(R440="","",IF(R440&lt;=Q440,"Yes","No"))</f>
        <v/>
      </c>
      <c r="U440" s="22" t="str">
        <f aca="false">IF(B440="","",TEXT(YEAR(B440),"0"))</f>
        <v/>
      </c>
    </row>
    <row r="441" customFormat="false" ht="15" hidden="false" customHeight="false" outlineLevel="0" collapsed="false">
      <c r="B441" s="28"/>
      <c r="C441" s="24" t="str">
        <f aca="false">IF(B441="","",DATE(YEAR(B441),MONTH(B441),1))</f>
        <v/>
      </c>
      <c r="N441" s="26" t="str">
        <f aca="false">IF(L441="","",L441*M441)</f>
        <v/>
      </c>
      <c r="P441" s="26" t="str">
        <f aca="false">IF(L441="","",N441-L441*O441)</f>
        <v/>
      </c>
      <c r="T441" s="22" t="str">
        <f aca="false">IF(R441="","",IF(R441&lt;=Q441,"Yes","No"))</f>
        <v/>
      </c>
      <c r="U441" s="22" t="str">
        <f aca="false">IF(B441="","",TEXT(YEAR(B441),"0"))</f>
        <v/>
      </c>
    </row>
    <row r="442" customFormat="false" ht="15" hidden="false" customHeight="false" outlineLevel="0" collapsed="false">
      <c r="B442" s="28"/>
      <c r="C442" s="24" t="str">
        <f aca="false">IF(B442="","",DATE(YEAR(B442),MONTH(B442),1))</f>
        <v/>
      </c>
      <c r="N442" s="26" t="str">
        <f aca="false">IF(L442="","",L442*M442)</f>
        <v/>
      </c>
      <c r="P442" s="26" t="str">
        <f aca="false">IF(L442="","",N442-L442*O442)</f>
        <v/>
      </c>
      <c r="T442" s="22" t="str">
        <f aca="false">IF(R442="","",IF(R442&lt;=Q442,"Yes","No"))</f>
        <v/>
      </c>
      <c r="U442" s="22" t="str">
        <f aca="false">IF(B442="","",TEXT(YEAR(B442),"0"))</f>
        <v/>
      </c>
    </row>
    <row r="443" customFormat="false" ht="15" hidden="false" customHeight="false" outlineLevel="0" collapsed="false">
      <c r="B443" s="28"/>
      <c r="C443" s="24" t="str">
        <f aca="false">IF(B443="","",DATE(YEAR(B443),MONTH(B443),1))</f>
        <v/>
      </c>
      <c r="N443" s="26" t="str">
        <f aca="false">IF(L443="","",L443*M443)</f>
        <v/>
      </c>
      <c r="P443" s="26" t="str">
        <f aca="false">IF(L443="","",N443-L443*O443)</f>
        <v/>
      </c>
      <c r="T443" s="22" t="str">
        <f aca="false">IF(R443="","",IF(R443&lt;=Q443,"Yes","No"))</f>
        <v/>
      </c>
      <c r="U443" s="22" t="str">
        <f aca="false">IF(B443="","",TEXT(YEAR(B443),"0"))</f>
        <v/>
      </c>
    </row>
    <row r="444" customFormat="false" ht="15" hidden="false" customHeight="false" outlineLevel="0" collapsed="false">
      <c r="B444" s="28"/>
      <c r="C444" s="24" t="str">
        <f aca="false">IF(B444="","",DATE(YEAR(B444),MONTH(B444),1))</f>
        <v/>
      </c>
      <c r="N444" s="26" t="str">
        <f aca="false">IF(L444="","",L444*M444)</f>
        <v/>
      </c>
      <c r="P444" s="26" t="str">
        <f aca="false">IF(L444="","",N444-L444*O444)</f>
        <v/>
      </c>
      <c r="T444" s="22" t="str">
        <f aca="false">IF(R444="","",IF(R444&lt;=Q444,"Yes","No"))</f>
        <v/>
      </c>
      <c r="U444" s="22" t="str">
        <f aca="false">IF(B444="","",TEXT(YEAR(B444),"0"))</f>
        <v/>
      </c>
    </row>
    <row r="445" customFormat="false" ht="15" hidden="false" customHeight="false" outlineLevel="0" collapsed="false">
      <c r="B445" s="28"/>
      <c r="C445" s="24" t="str">
        <f aca="false">IF(B445="","",DATE(YEAR(B445),MONTH(B445),1))</f>
        <v/>
      </c>
      <c r="N445" s="26" t="str">
        <f aca="false">IF(L445="","",L445*M445)</f>
        <v/>
      </c>
      <c r="P445" s="26" t="str">
        <f aca="false">IF(L445="","",N445-L445*O445)</f>
        <v/>
      </c>
      <c r="T445" s="22" t="str">
        <f aca="false">IF(R445="","",IF(R445&lt;=Q445,"Yes","No"))</f>
        <v/>
      </c>
      <c r="U445" s="22" t="str">
        <f aca="false">IF(B445="","",TEXT(YEAR(B445),"0"))</f>
        <v/>
      </c>
    </row>
    <row r="446" customFormat="false" ht="15" hidden="false" customHeight="false" outlineLevel="0" collapsed="false">
      <c r="B446" s="28"/>
      <c r="C446" s="24" t="str">
        <f aca="false">IF(B446="","",DATE(YEAR(B446),MONTH(B446),1))</f>
        <v/>
      </c>
      <c r="N446" s="26" t="str">
        <f aca="false">IF(L446="","",L446*M446)</f>
        <v/>
      </c>
      <c r="P446" s="26" t="str">
        <f aca="false">IF(L446="","",N446-L446*O446)</f>
        <v/>
      </c>
      <c r="T446" s="22" t="str">
        <f aca="false">IF(R446="","",IF(R446&lt;=Q446,"Yes","No"))</f>
        <v/>
      </c>
      <c r="U446" s="22" t="str">
        <f aca="false">IF(B446="","",TEXT(YEAR(B446),"0"))</f>
        <v/>
      </c>
    </row>
    <row r="447" customFormat="false" ht="15" hidden="false" customHeight="false" outlineLevel="0" collapsed="false">
      <c r="B447" s="28"/>
      <c r="C447" s="24" t="str">
        <f aca="false">IF(B447="","",DATE(YEAR(B447),MONTH(B447),1))</f>
        <v/>
      </c>
      <c r="N447" s="26" t="str">
        <f aca="false">IF(L447="","",L447*M447)</f>
        <v/>
      </c>
      <c r="P447" s="26" t="str">
        <f aca="false">IF(L447="","",N447-L447*O447)</f>
        <v/>
      </c>
      <c r="T447" s="22" t="str">
        <f aca="false">IF(R447="","",IF(R447&lt;=Q447,"Yes","No"))</f>
        <v/>
      </c>
      <c r="U447" s="22" t="str">
        <f aca="false">IF(B447="","",TEXT(YEAR(B447),"0"))</f>
        <v/>
      </c>
    </row>
    <row r="448" customFormat="false" ht="15" hidden="false" customHeight="false" outlineLevel="0" collapsed="false">
      <c r="B448" s="28"/>
      <c r="C448" s="24" t="str">
        <f aca="false">IF(B448="","",DATE(YEAR(B448),MONTH(B448),1))</f>
        <v/>
      </c>
      <c r="N448" s="26" t="str">
        <f aca="false">IF(L448="","",L448*M448)</f>
        <v/>
      </c>
      <c r="P448" s="26" t="str">
        <f aca="false">IF(L448="","",N448-L448*O448)</f>
        <v/>
      </c>
      <c r="T448" s="22" t="str">
        <f aca="false">IF(R448="","",IF(R448&lt;=Q448,"Yes","No"))</f>
        <v/>
      </c>
      <c r="U448" s="22" t="str">
        <f aca="false">IF(B448="","",TEXT(YEAR(B448),"0"))</f>
        <v/>
      </c>
    </row>
    <row r="449" customFormat="false" ht="15" hidden="false" customHeight="false" outlineLevel="0" collapsed="false">
      <c r="B449" s="28"/>
      <c r="C449" s="24" t="str">
        <f aca="false">IF(B449="","",DATE(YEAR(B449),MONTH(B449),1))</f>
        <v/>
      </c>
      <c r="N449" s="26" t="str">
        <f aca="false">IF(L449="","",L449*M449)</f>
        <v/>
      </c>
      <c r="P449" s="26" t="str">
        <f aca="false">IF(L449="","",N449-L449*O449)</f>
        <v/>
      </c>
      <c r="T449" s="22" t="str">
        <f aca="false">IF(R449="","",IF(R449&lt;=Q449,"Yes","No"))</f>
        <v/>
      </c>
      <c r="U449" s="22" t="str">
        <f aca="false">IF(B449="","",TEXT(YEAR(B449),"0"))</f>
        <v/>
      </c>
    </row>
    <row r="450" customFormat="false" ht="15" hidden="false" customHeight="false" outlineLevel="0" collapsed="false">
      <c r="B450" s="28"/>
      <c r="C450" s="24" t="str">
        <f aca="false">IF(B450="","",DATE(YEAR(B450),MONTH(B450),1))</f>
        <v/>
      </c>
      <c r="N450" s="26" t="str">
        <f aca="false">IF(L450="","",L450*M450)</f>
        <v/>
      </c>
      <c r="P450" s="26" t="str">
        <f aca="false">IF(L450="","",N450-L450*O450)</f>
        <v/>
      </c>
      <c r="T450" s="22" t="str">
        <f aca="false">IF(R450="","",IF(R450&lt;=Q450,"Yes","No"))</f>
        <v/>
      </c>
      <c r="U450" s="22" t="str">
        <f aca="false">IF(B450="","",TEXT(YEAR(B450),"0"))</f>
        <v/>
      </c>
    </row>
    <row r="451" customFormat="false" ht="15" hidden="false" customHeight="false" outlineLevel="0" collapsed="false">
      <c r="B451" s="28"/>
      <c r="C451" s="24" t="str">
        <f aca="false">IF(B451="","",DATE(YEAR(B451),MONTH(B451),1))</f>
        <v/>
      </c>
      <c r="N451" s="26" t="str">
        <f aca="false">IF(L451="","",L451*M451)</f>
        <v/>
      </c>
      <c r="P451" s="26" t="str">
        <f aca="false">IF(L451="","",N451-L451*O451)</f>
        <v/>
      </c>
      <c r="T451" s="22" t="str">
        <f aca="false">IF(R451="","",IF(R451&lt;=Q451,"Yes","No"))</f>
        <v/>
      </c>
      <c r="U451" s="22" t="str">
        <f aca="false">IF(B451="","",TEXT(YEAR(B451),"0"))</f>
        <v/>
      </c>
    </row>
    <row r="452" customFormat="false" ht="15" hidden="false" customHeight="false" outlineLevel="0" collapsed="false">
      <c r="B452" s="28"/>
      <c r="C452" s="24" t="str">
        <f aca="false">IF(B452="","",DATE(YEAR(B452),MONTH(B452),1))</f>
        <v/>
      </c>
      <c r="N452" s="26" t="str">
        <f aca="false">IF(L452="","",L452*M452)</f>
        <v/>
      </c>
      <c r="P452" s="26" t="str">
        <f aca="false">IF(L452="","",N452-L452*O452)</f>
        <v/>
      </c>
      <c r="T452" s="22" t="str">
        <f aca="false">IF(R452="","",IF(R452&lt;=Q452,"Yes","No"))</f>
        <v/>
      </c>
      <c r="U452" s="22" t="str">
        <f aca="false">IF(B452="","",TEXT(YEAR(B452),"0"))</f>
        <v/>
      </c>
    </row>
    <row r="453" customFormat="false" ht="15" hidden="false" customHeight="false" outlineLevel="0" collapsed="false">
      <c r="B453" s="28"/>
      <c r="C453" s="24" t="str">
        <f aca="false">IF(B453="","",DATE(YEAR(B453),MONTH(B453),1))</f>
        <v/>
      </c>
      <c r="N453" s="26" t="str">
        <f aca="false">IF(L453="","",L453*M453)</f>
        <v/>
      </c>
      <c r="P453" s="26" t="str">
        <f aca="false">IF(L453="","",N453-L453*O453)</f>
        <v/>
      </c>
      <c r="T453" s="22" t="str">
        <f aca="false">IF(R453="","",IF(R453&lt;=Q453,"Yes","No"))</f>
        <v/>
      </c>
      <c r="U453" s="22" t="str">
        <f aca="false">IF(B453="","",TEXT(YEAR(B453),"0"))</f>
        <v/>
      </c>
    </row>
    <row r="454" customFormat="false" ht="15" hidden="false" customHeight="false" outlineLevel="0" collapsed="false">
      <c r="B454" s="28"/>
      <c r="C454" s="24" t="str">
        <f aca="false">IF(B454="","",DATE(YEAR(B454),MONTH(B454),1))</f>
        <v/>
      </c>
      <c r="N454" s="26" t="str">
        <f aca="false">IF(L454="","",L454*M454)</f>
        <v/>
      </c>
      <c r="P454" s="26" t="str">
        <f aca="false">IF(L454="","",N454-L454*O454)</f>
        <v/>
      </c>
      <c r="T454" s="22" t="str">
        <f aca="false">IF(R454="","",IF(R454&lt;=Q454,"Yes","No"))</f>
        <v/>
      </c>
      <c r="U454" s="22" t="str">
        <f aca="false">IF(B454="","",TEXT(YEAR(B454),"0"))</f>
        <v/>
      </c>
    </row>
    <row r="455" customFormat="false" ht="15" hidden="false" customHeight="false" outlineLevel="0" collapsed="false">
      <c r="B455" s="28"/>
      <c r="C455" s="24" t="str">
        <f aca="false">IF(B455="","",DATE(YEAR(B455),MONTH(B455),1))</f>
        <v/>
      </c>
      <c r="N455" s="26" t="str">
        <f aca="false">IF(L455="","",L455*M455)</f>
        <v/>
      </c>
      <c r="P455" s="26" t="str">
        <f aca="false">IF(L455="","",N455-L455*O455)</f>
        <v/>
      </c>
      <c r="T455" s="22" t="str">
        <f aca="false">IF(R455="","",IF(R455&lt;=Q455,"Yes","No"))</f>
        <v/>
      </c>
      <c r="U455" s="22" t="str">
        <f aca="false">IF(B455="","",TEXT(YEAR(B455),"0"))</f>
        <v/>
      </c>
    </row>
    <row r="456" customFormat="false" ht="15" hidden="false" customHeight="false" outlineLevel="0" collapsed="false">
      <c r="B456" s="28"/>
      <c r="C456" s="24" t="str">
        <f aca="false">IF(B456="","",DATE(YEAR(B456),MONTH(B456),1))</f>
        <v/>
      </c>
      <c r="N456" s="26" t="str">
        <f aca="false">IF(L456="","",L456*M456)</f>
        <v/>
      </c>
      <c r="P456" s="26" t="str">
        <f aca="false">IF(L456="","",N456-L456*O456)</f>
        <v/>
      </c>
      <c r="T456" s="22" t="str">
        <f aca="false">IF(R456="","",IF(R456&lt;=Q456,"Yes","No"))</f>
        <v/>
      </c>
      <c r="U456" s="22" t="str">
        <f aca="false">IF(B456="","",TEXT(YEAR(B456),"0"))</f>
        <v/>
      </c>
    </row>
    <row r="457" customFormat="false" ht="15" hidden="false" customHeight="false" outlineLevel="0" collapsed="false">
      <c r="B457" s="28"/>
      <c r="C457" s="24" t="str">
        <f aca="false">IF(B457="","",DATE(YEAR(B457),MONTH(B457),1))</f>
        <v/>
      </c>
      <c r="N457" s="26" t="str">
        <f aca="false">IF(L457="","",L457*M457)</f>
        <v/>
      </c>
      <c r="P457" s="26" t="str">
        <f aca="false">IF(L457="","",N457-L457*O457)</f>
        <v/>
      </c>
      <c r="T457" s="22" t="str">
        <f aca="false">IF(R457="","",IF(R457&lt;=Q457,"Yes","No"))</f>
        <v/>
      </c>
      <c r="U457" s="22" t="str">
        <f aca="false">IF(B457="","",TEXT(YEAR(B457),"0"))</f>
        <v/>
      </c>
    </row>
    <row r="458" customFormat="false" ht="15" hidden="false" customHeight="false" outlineLevel="0" collapsed="false">
      <c r="B458" s="28"/>
      <c r="C458" s="24" t="str">
        <f aca="false">IF(B458="","",DATE(YEAR(B458),MONTH(B458),1))</f>
        <v/>
      </c>
      <c r="N458" s="26" t="str">
        <f aca="false">IF(L458="","",L458*M458)</f>
        <v/>
      </c>
      <c r="P458" s="26" t="str">
        <f aca="false">IF(L458="","",N458-L458*O458)</f>
        <v/>
      </c>
      <c r="T458" s="22" t="str">
        <f aca="false">IF(R458="","",IF(R458&lt;=Q458,"Yes","No"))</f>
        <v/>
      </c>
      <c r="U458" s="22" t="str">
        <f aca="false">IF(B458="","",TEXT(YEAR(B458),"0"))</f>
        <v/>
      </c>
    </row>
    <row r="459" customFormat="false" ht="15" hidden="false" customHeight="false" outlineLevel="0" collapsed="false">
      <c r="B459" s="28"/>
      <c r="C459" s="24" t="str">
        <f aca="false">IF(B459="","",DATE(YEAR(B459),MONTH(B459),1))</f>
        <v/>
      </c>
      <c r="N459" s="26" t="str">
        <f aca="false">IF(L459="","",L459*M459)</f>
        <v/>
      </c>
      <c r="P459" s="26" t="str">
        <f aca="false">IF(L459="","",N459-L459*O459)</f>
        <v/>
      </c>
      <c r="T459" s="22" t="str">
        <f aca="false">IF(R459="","",IF(R459&lt;=Q459,"Yes","No"))</f>
        <v/>
      </c>
      <c r="U459" s="22" t="str">
        <f aca="false">IF(B459="","",TEXT(YEAR(B459),"0"))</f>
        <v/>
      </c>
    </row>
    <row r="460" customFormat="false" ht="15" hidden="false" customHeight="false" outlineLevel="0" collapsed="false">
      <c r="B460" s="28"/>
      <c r="C460" s="24" t="str">
        <f aca="false">IF(B460="","",DATE(YEAR(B460),MONTH(B460),1))</f>
        <v/>
      </c>
      <c r="N460" s="26" t="str">
        <f aca="false">IF(L460="","",L460*M460)</f>
        <v/>
      </c>
      <c r="P460" s="26" t="str">
        <f aca="false">IF(L460="","",N460-L460*O460)</f>
        <v/>
      </c>
      <c r="T460" s="22" t="str">
        <f aca="false">IF(R460="","",IF(R460&lt;=Q460,"Yes","No"))</f>
        <v/>
      </c>
      <c r="U460" s="22" t="str">
        <f aca="false">IF(B460="","",TEXT(YEAR(B460),"0"))</f>
        <v/>
      </c>
    </row>
    <row r="461" customFormat="false" ht="15" hidden="false" customHeight="false" outlineLevel="0" collapsed="false">
      <c r="B461" s="28"/>
      <c r="C461" s="24" t="str">
        <f aca="false">IF(B461="","",DATE(YEAR(B461),MONTH(B461),1))</f>
        <v/>
      </c>
      <c r="N461" s="26" t="str">
        <f aca="false">IF(L461="","",L461*M461)</f>
        <v/>
      </c>
      <c r="P461" s="26" t="str">
        <f aca="false">IF(L461="","",N461-L461*O461)</f>
        <v/>
      </c>
      <c r="T461" s="22" t="str">
        <f aca="false">IF(R461="","",IF(R461&lt;=Q461,"Yes","No"))</f>
        <v/>
      </c>
      <c r="U461" s="22" t="str">
        <f aca="false">IF(B461="","",TEXT(YEAR(B461),"0"))</f>
        <v/>
      </c>
    </row>
    <row r="462" customFormat="false" ht="15" hidden="false" customHeight="false" outlineLevel="0" collapsed="false">
      <c r="B462" s="28"/>
      <c r="C462" s="24" t="str">
        <f aca="false">IF(B462="","",DATE(YEAR(B462),MONTH(B462),1))</f>
        <v/>
      </c>
      <c r="N462" s="26" t="str">
        <f aca="false">IF(L462="","",L462*M462)</f>
        <v/>
      </c>
      <c r="P462" s="26" t="str">
        <f aca="false">IF(L462="","",N462-L462*O462)</f>
        <v/>
      </c>
      <c r="T462" s="22" t="str">
        <f aca="false">IF(R462="","",IF(R462&lt;=Q462,"Yes","No"))</f>
        <v/>
      </c>
      <c r="U462" s="22" t="str">
        <f aca="false">IF(B462="","",TEXT(YEAR(B462),"0"))</f>
        <v/>
      </c>
    </row>
    <row r="463" customFormat="false" ht="15" hidden="false" customHeight="false" outlineLevel="0" collapsed="false">
      <c r="B463" s="28"/>
      <c r="C463" s="24" t="str">
        <f aca="false">IF(B463="","",DATE(YEAR(B463),MONTH(B463),1))</f>
        <v/>
      </c>
      <c r="N463" s="26" t="str">
        <f aca="false">IF(L463="","",L463*M463)</f>
        <v/>
      </c>
      <c r="P463" s="26" t="str">
        <f aca="false">IF(L463="","",N463-L463*O463)</f>
        <v/>
      </c>
      <c r="T463" s="22" t="str">
        <f aca="false">IF(R463="","",IF(R463&lt;=Q463,"Yes","No"))</f>
        <v/>
      </c>
      <c r="U463" s="22" t="str">
        <f aca="false">IF(B463="","",TEXT(YEAR(B463),"0"))</f>
        <v/>
      </c>
    </row>
    <row r="464" customFormat="false" ht="15" hidden="false" customHeight="false" outlineLevel="0" collapsed="false">
      <c r="B464" s="28"/>
      <c r="C464" s="24" t="str">
        <f aca="false">IF(B464="","",DATE(YEAR(B464),MONTH(B464),1))</f>
        <v/>
      </c>
      <c r="N464" s="26" t="str">
        <f aca="false">IF(L464="","",L464*M464)</f>
        <v/>
      </c>
      <c r="P464" s="26" t="str">
        <f aca="false">IF(L464="","",N464-L464*O464)</f>
        <v/>
      </c>
      <c r="T464" s="22" t="str">
        <f aca="false">IF(R464="","",IF(R464&lt;=Q464,"Yes","No"))</f>
        <v/>
      </c>
      <c r="U464" s="22" t="str">
        <f aca="false">IF(B464="","",TEXT(YEAR(B464),"0"))</f>
        <v/>
      </c>
    </row>
    <row r="465" customFormat="false" ht="15" hidden="false" customHeight="false" outlineLevel="0" collapsed="false">
      <c r="B465" s="28"/>
      <c r="C465" s="24" t="str">
        <f aca="false">IF(B465="","",DATE(YEAR(B465),MONTH(B465),1))</f>
        <v/>
      </c>
      <c r="N465" s="26" t="str">
        <f aca="false">IF(L465="","",L465*M465)</f>
        <v/>
      </c>
      <c r="P465" s="26" t="str">
        <f aca="false">IF(L465="","",N465-L465*O465)</f>
        <v/>
      </c>
      <c r="T465" s="22" t="str">
        <f aca="false">IF(R465="","",IF(R465&lt;=Q465,"Yes","No"))</f>
        <v/>
      </c>
      <c r="U465" s="22" t="str">
        <f aca="false">IF(B465="","",TEXT(YEAR(B465),"0"))</f>
        <v/>
      </c>
    </row>
    <row r="466" customFormat="false" ht="15" hidden="false" customHeight="false" outlineLevel="0" collapsed="false">
      <c r="B466" s="28"/>
      <c r="C466" s="24" t="str">
        <f aca="false">IF(B466="","",DATE(YEAR(B466),MONTH(B466),1))</f>
        <v/>
      </c>
      <c r="N466" s="26" t="str">
        <f aca="false">IF(L466="","",L466*M466)</f>
        <v/>
      </c>
      <c r="P466" s="26" t="str">
        <f aca="false">IF(L466="","",N466-L466*O466)</f>
        <v/>
      </c>
      <c r="T466" s="22" t="str">
        <f aca="false">IF(R466="","",IF(R466&lt;=Q466,"Yes","No"))</f>
        <v/>
      </c>
      <c r="U466" s="22" t="str">
        <f aca="false">IF(B466="","",TEXT(YEAR(B466),"0"))</f>
        <v/>
      </c>
    </row>
    <row r="467" customFormat="false" ht="15" hidden="false" customHeight="false" outlineLevel="0" collapsed="false">
      <c r="B467" s="28"/>
      <c r="C467" s="24" t="str">
        <f aca="false">IF(B467="","",DATE(YEAR(B467),MONTH(B467),1))</f>
        <v/>
      </c>
      <c r="N467" s="26" t="str">
        <f aca="false">IF(L467="","",L467*M467)</f>
        <v/>
      </c>
      <c r="P467" s="26" t="str">
        <f aca="false">IF(L467="","",N467-L467*O467)</f>
        <v/>
      </c>
      <c r="T467" s="22" t="str">
        <f aca="false">IF(R467="","",IF(R467&lt;=Q467,"Yes","No"))</f>
        <v/>
      </c>
      <c r="U467" s="22" t="str">
        <f aca="false">IF(B467="","",TEXT(YEAR(B467),"0"))</f>
        <v/>
      </c>
    </row>
    <row r="468" customFormat="false" ht="15" hidden="false" customHeight="false" outlineLevel="0" collapsed="false">
      <c r="B468" s="28"/>
      <c r="C468" s="24" t="str">
        <f aca="false">IF(B468="","",DATE(YEAR(B468),MONTH(B468),1))</f>
        <v/>
      </c>
      <c r="N468" s="26" t="str">
        <f aca="false">IF(L468="","",L468*M468)</f>
        <v/>
      </c>
      <c r="P468" s="26" t="str">
        <f aca="false">IF(L468="","",N468-L468*O468)</f>
        <v/>
      </c>
      <c r="T468" s="22" t="str">
        <f aca="false">IF(R468="","",IF(R468&lt;=Q468,"Yes","No"))</f>
        <v/>
      </c>
      <c r="U468" s="22" t="str">
        <f aca="false">IF(B468="","",TEXT(YEAR(B468),"0"))</f>
        <v/>
      </c>
    </row>
    <row r="469" customFormat="false" ht="15" hidden="false" customHeight="false" outlineLevel="0" collapsed="false">
      <c r="B469" s="28"/>
      <c r="C469" s="24" t="str">
        <f aca="false">IF(B469="","",DATE(YEAR(B469),MONTH(B469),1))</f>
        <v/>
      </c>
      <c r="N469" s="26" t="str">
        <f aca="false">IF(L469="","",L469*M469)</f>
        <v/>
      </c>
      <c r="P469" s="26" t="str">
        <f aca="false">IF(L469="","",N469-L469*O469)</f>
        <v/>
      </c>
      <c r="T469" s="22" t="str">
        <f aca="false">IF(R469="","",IF(R469&lt;=Q469,"Yes","No"))</f>
        <v/>
      </c>
      <c r="U469" s="22" t="str">
        <f aca="false">IF(B469="","",TEXT(YEAR(B469),"0"))</f>
        <v/>
      </c>
    </row>
    <row r="470" customFormat="false" ht="15" hidden="false" customHeight="false" outlineLevel="0" collapsed="false">
      <c r="B470" s="28"/>
      <c r="C470" s="24" t="str">
        <f aca="false">IF(B470="","",DATE(YEAR(B470),MONTH(B470),1))</f>
        <v/>
      </c>
      <c r="N470" s="26" t="str">
        <f aca="false">IF(L470="","",L470*M470)</f>
        <v/>
      </c>
      <c r="P470" s="26" t="str">
        <f aca="false">IF(L470="","",N470-L470*O470)</f>
        <v/>
      </c>
      <c r="T470" s="22" t="str">
        <f aca="false">IF(R470="","",IF(R470&lt;=Q470,"Yes","No"))</f>
        <v/>
      </c>
      <c r="U470" s="22" t="str">
        <f aca="false">IF(B470="","",TEXT(YEAR(B470),"0"))</f>
        <v/>
      </c>
    </row>
    <row r="471" customFormat="false" ht="15" hidden="false" customHeight="false" outlineLevel="0" collapsed="false">
      <c r="B471" s="28"/>
      <c r="C471" s="24" t="str">
        <f aca="false">IF(B471="","",DATE(YEAR(B471),MONTH(B471),1))</f>
        <v/>
      </c>
      <c r="N471" s="26" t="str">
        <f aca="false">IF(L471="","",L471*M471)</f>
        <v/>
      </c>
      <c r="P471" s="26" t="str">
        <f aca="false">IF(L471="","",N471-L471*O471)</f>
        <v/>
      </c>
      <c r="T471" s="22" t="str">
        <f aca="false">IF(R471="","",IF(R471&lt;=Q471,"Yes","No"))</f>
        <v/>
      </c>
      <c r="U471" s="22" t="str">
        <f aca="false">IF(B471="","",TEXT(YEAR(B471),"0"))</f>
        <v/>
      </c>
    </row>
    <row r="472" customFormat="false" ht="15" hidden="false" customHeight="false" outlineLevel="0" collapsed="false">
      <c r="B472" s="28"/>
      <c r="C472" s="24" t="str">
        <f aca="false">IF(B472="","",DATE(YEAR(B472),MONTH(B472),1))</f>
        <v/>
      </c>
      <c r="N472" s="26" t="str">
        <f aca="false">IF(L472="","",L472*M472)</f>
        <v/>
      </c>
      <c r="P472" s="26" t="str">
        <f aca="false">IF(L472="","",N472-L472*O472)</f>
        <v/>
      </c>
      <c r="T472" s="22" t="str">
        <f aca="false">IF(R472="","",IF(R472&lt;=Q472,"Yes","No"))</f>
        <v/>
      </c>
      <c r="U472" s="22" t="str">
        <f aca="false">IF(B472="","",TEXT(YEAR(B472),"0"))</f>
        <v/>
      </c>
    </row>
    <row r="473" customFormat="false" ht="15" hidden="false" customHeight="false" outlineLevel="0" collapsed="false">
      <c r="B473" s="28"/>
      <c r="C473" s="24" t="str">
        <f aca="false">IF(B473="","",DATE(YEAR(B473),MONTH(B473),1))</f>
        <v/>
      </c>
      <c r="N473" s="26" t="str">
        <f aca="false">IF(L473="","",L473*M473)</f>
        <v/>
      </c>
      <c r="P473" s="26" t="str">
        <f aca="false">IF(L473="","",N473-L473*O473)</f>
        <v/>
      </c>
      <c r="T473" s="22" t="str">
        <f aca="false">IF(R473="","",IF(R473&lt;=Q473,"Yes","No"))</f>
        <v/>
      </c>
      <c r="U473" s="22" t="str">
        <f aca="false">IF(B473="","",TEXT(YEAR(B473),"0"))</f>
        <v/>
      </c>
    </row>
    <row r="474" customFormat="false" ht="15" hidden="false" customHeight="false" outlineLevel="0" collapsed="false">
      <c r="B474" s="28"/>
      <c r="C474" s="24" t="str">
        <f aca="false">IF(B474="","",DATE(YEAR(B474),MONTH(B474),1))</f>
        <v/>
      </c>
      <c r="N474" s="26" t="str">
        <f aca="false">IF(L474="","",L474*M474)</f>
        <v/>
      </c>
      <c r="P474" s="26" t="str">
        <f aca="false">IF(L474="","",N474-L474*O474)</f>
        <v/>
      </c>
      <c r="T474" s="22" t="str">
        <f aca="false">IF(R474="","",IF(R474&lt;=Q474,"Yes","No"))</f>
        <v/>
      </c>
      <c r="U474" s="22" t="str">
        <f aca="false">IF(B474="","",TEXT(YEAR(B474),"0"))</f>
        <v/>
      </c>
    </row>
    <row r="475" customFormat="false" ht="15" hidden="false" customHeight="false" outlineLevel="0" collapsed="false">
      <c r="B475" s="28"/>
      <c r="C475" s="24" t="str">
        <f aca="false">IF(B475="","",DATE(YEAR(B475),MONTH(B475),1))</f>
        <v/>
      </c>
      <c r="N475" s="26" t="str">
        <f aca="false">IF(L475="","",L475*M475)</f>
        <v/>
      </c>
      <c r="P475" s="26" t="str">
        <f aca="false">IF(L475="","",N475-L475*O475)</f>
        <v/>
      </c>
      <c r="T475" s="22" t="str">
        <f aca="false">IF(R475="","",IF(R475&lt;=Q475,"Yes","No"))</f>
        <v/>
      </c>
      <c r="U475" s="22" t="str">
        <f aca="false">IF(B475="","",TEXT(YEAR(B475),"0"))</f>
        <v/>
      </c>
    </row>
    <row r="476" customFormat="false" ht="15" hidden="false" customHeight="false" outlineLevel="0" collapsed="false">
      <c r="B476" s="28"/>
      <c r="C476" s="24" t="str">
        <f aca="false">IF(B476="","",DATE(YEAR(B476),MONTH(B476),1))</f>
        <v/>
      </c>
      <c r="N476" s="26" t="str">
        <f aca="false">IF(L476="","",L476*M476)</f>
        <v/>
      </c>
      <c r="P476" s="26" t="str">
        <f aca="false">IF(L476="","",N476-L476*O476)</f>
        <v/>
      </c>
      <c r="T476" s="22" t="str">
        <f aca="false">IF(R476="","",IF(R476&lt;=Q476,"Yes","No"))</f>
        <v/>
      </c>
      <c r="U476" s="22" t="str">
        <f aca="false">IF(B476="","",TEXT(YEAR(B476),"0"))</f>
        <v/>
      </c>
    </row>
    <row r="477" customFormat="false" ht="15" hidden="false" customHeight="false" outlineLevel="0" collapsed="false">
      <c r="B477" s="28"/>
      <c r="C477" s="24" t="str">
        <f aca="false">IF(B477="","",DATE(YEAR(B477),MONTH(B477),1))</f>
        <v/>
      </c>
      <c r="N477" s="26" t="str">
        <f aca="false">IF(L477="","",L477*M477)</f>
        <v/>
      </c>
      <c r="P477" s="26" t="str">
        <f aca="false">IF(L477="","",N477-L477*O477)</f>
        <v/>
      </c>
      <c r="T477" s="22" t="str">
        <f aca="false">IF(R477="","",IF(R477&lt;=Q477,"Yes","No"))</f>
        <v/>
      </c>
      <c r="U477" s="22" t="str">
        <f aca="false">IF(B477="","",TEXT(YEAR(B477),"0"))</f>
        <v/>
      </c>
    </row>
    <row r="478" customFormat="false" ht="15" hidden="false" customHeight="false" outlineLevel="0" collapsed="false">
      <c r="B478" s="28"/>
      <c r="C478" s="24" t="str">
        <f aca="false">IF(B478="","",DATE(YEAR(B478),MONTH(B478),1))</f>
        <v/>
      </c>
      <c r="N478" s="26" t="str">
        <f aca="false">IF(L478="","",L478*M478)</f>
        <v/>
      </c>
      <c r="P478" s="26" t="str">
        <f aca="false">IF(L478="","",N478-L478*O478)</f>
        <v/>
      </c>
      <c r="T478" s="22" t="str">
        <f aca="false">IF(R478="","",IF(R478&lt;=Q478,"Yes","No"))</f>
        <v/>
      </c>
      <c r="U478" s="22" t="str">
        <f aca="false">IF(B478="","",TEXT(YEAR(B478),"0"))</f>
        <v/>
      </c>
    </row>
    <row r="479" customFormat="false" ht="15" hidden="false" customHeight="false" outlineLevel="0" collapsed="false">
      <c r="B479" s="28"/>
      <c r="C479" s="24" t="str">
        <f aca="false">IF(B479="","",DATE(YEAR(B479),MONTH(B479),1))</f>
        <v/>
      </c>
      <c r="N479" s="26" t="str">
        <f aca="false">IF(L479="","",L479*M479)</f>
        <v/>
      </c>
      <c r="P479" s="26" t="str">
        <f aca="false">IF(L479="","",N479-L479*O479)</f>
        <v/>
      </c>
      <c r="T479" s="22" t="str">
        <f aca="false">IF(R479="","",IF(R479&lt;=Q479,"Yes","No"))</f>
        <v/>
      </c>
      <c r="U479" s="22" t="str">
        <f aca="false">IF(B479="","",TEXT(YEAR(B479),"0"))</f>
        <v/>
      </c>
    </row>
    <row r="480" customFormat="false" ht="15" hidden="false" customHeight="false" outlineLevel="0" collapsed="false">
      <c r="B480" s="28"/>
      <c r="C480" s="24" t="str">
        <f aca="false">IF(B480="","",DATE(YEAR(B480),MONTH(B480),1))</f>
        <v/>
      </c>
      <c r="N480" s="26" t="str">
        <f aca="false">IF(L480="","",L480*M480)</f>
        <v/>
      </c>
      <c r="P480" s="26" t="str">
        <f aca="false">IF(L480="","",N480-L480*O480)</f>
        <v/>
      </c>
      <c r="T480" s="22" t="str">
        <f aca="false">IF(R480="","",IF(R480&lt;=Q480,"Yes","No"))</f>
        <v/>
      </c>
      <c r="U480" s="22" t="str">
        <f aca="false">IF(B480="","",TEXT(YEAR(B480),"0"))</f>
        <v/>
      </c>
    </row>
    <row r="481" customFormat="false" ht="15" hidden="false" customHeight="false" outlineLevel="0" collapsed="false">
      <c r="B481" s="28"/>
      <c r="C481" s="24" t="str">
        <f aca="false">IF(B481="","",DATE(YEAR(B481),MONTH(B481),1))</f>
        <v/>
      </c>
      <c r="N481" s="26" t="str">
        <f aca="false">IF(L481="","",L481*M481)</f>
        <v/>
      </c>
      <c r="P481" s="26" t="str">
        <f aca="false">IF(L481="","",N481-L481*O481)</f>
        <v/>
      </c>
      <c r="T481" s="22" t="str">
        <f aca="false">IF(R481="","",IF(R481&lt;=Q481,"Yes","No"))</f>
        <v/>
      </c>
      <c r="U481" s="22" t="str">
        <f aca="false">IF(B481="","",TEXT(YEAR(B481),"0"))</f>
        <v/>
      </c>
    </row>
    <row r="482" customFormat="false" ht="15" hidden="false" customHeight="false" outlineLevel="0" collapsed="false">
      <c r="B482" s="28"/>
      <c r="C482" s="24" t="str">
        <f aca="false">IF(B482="","",DATE(YEAR(B482),MONTH(B482),1))</f>
        <v/>
      </c>
      <c r="N482" s="26" t="str">
        <f aca="false">IF(L482="","",L482*M482)</f>
        <v/>
      </c>
      <c r="P482" s="26" t="str">
        <f aca="false">IF(L482="","",N482-L482*O482)</f>
        <v/>
      </c>
      <c r="T482" s="22" t="str">
        <f aca="false">IF(R482="","",IF(R482&lt;=Q482,"Yes","No"))</f>
        <v/>
      </c>
      <c r="U482" s="22" t="str">
        <f aca="false">IF(B482="","",TEXT(YEAR(B482),"0"))</f>
        <v/>
      </c>
    </row>
    <row r="483" customFormat="false" ht="15" hidden="false" customHeight="false" outlineLevel="0" collapsed="false">
      <c r="B483" s="28"/>
      <c r="C483" s="24" t="str">
        <f aca="false">IF(B483="","",DATE(YEAR(B483),MONTH(B483),1))</f>
        <v/>
      </c>
      <c r="N483" s="26" t="str">
        <f aca="false">IF(L483="","",L483*M483)</f>
        <v/>
      </c>
      <c r="P483" s="26" t="str">
        <f aca="false">IF(L483="","",N483-L483*O483)</f>
        <v/>
      </c>
      <c r="T483" s="22" t="str">
        <f aca="false">IF(R483="","",IF(R483&lt;=Q483,"Yes","No"))</f>
        <v/>
      </c>
      <c r="U483" s="22" t="str">
        <f aca="false">IF(B483="","",TEXT(YEAR(B483),"0"))</f>
        <v/>
      </c>
    </row>
    <row r="484" customFormat="false" ht="15" hidden="false" customHeight="false" outlineLevel="0" collapsed="false">
      <c r="B484" s="28"/>
      <c r="C484" s="24" t="str">
        <f aca="false">IF(B484="","",DATE(YEAR(B484),MONTH(B484),1))</f>
        <v/>
      </c>
      <c r="N484" s="26" t="str">
        <f aca="false">IF(L484="","",L484*M484)</f>
        <v/>
      </c>
      <c r="P484" s="26" t="str">
        <f aca="false">IF(L484="","",N484-L484*O484)</f>
        <v/>
      </c>
      <c r="T484" s="22" t="str">
        <f aca="false">IF(R484="","",IF(R484&lt;=Q484,"Yes","No"))</f>
        <v/>
      </c>
      <c r="U484" s="22" t="str">
        <f aca="false">IF(B484="","",TEXT(YEAR(B484),"0"))</f>
        <v/>
      </c>
    </row>
    <row r="485" customFormat="false" ht="15" hidden="false" customHeight="false" outlineLevel="0" collapsed="false">
      <c r="B485" s="28"/>
      <c r="C485" s="24" t="str">
        <f aca="false">IF(B485="","",DATE(YEAR(B485),MONTH(B485),1))</f>
        <v/>
      </c>
      <c r="N485" s="26" t="str">
        <f aca="false">IF(L485="","",L485*M485)</f>
        <v/>
      </c>
      <c r="P485" s="26" t="str">
        <f aca="false">IF(L485="","",N485-L485*O485)</f>
        <v/>
      </c>
      <c r="T485" s="22" t="str">
        <f aca="false">IF(R485="","",IF(R485&lt;=Q485,"Yes","No"))</f>
        <v/>
      </c>
      <c r="U485" s="22" t="str">
        <f aca="false">IF(B485="","",TEXT(YEAR(B485),"0"))</f>
        <v/>
      </c>
    </row>
    <row r="486" customFormat="false" ht="15" hidden="false" customHeight="false" outlineLevel="0" collapsed="false">
      <c r="B486" s="28"/>
      <c r="C486" s="24" t="str">
        <f aca="false">IF(B486="","",DATE(YEAR(B486),MONTH(B486),1))</f>
        <v/>
      </c>
      <c r="N486" s="26" t="str">
        <f aca="false">IF(L486="","",L486*M486)</f>
        <v/>
      </c>
      <c r="P486" s="26" t="str">
        <f aca="false">IF(L486="","",N486-L486*O486)</f>
        <v/>
      </c>
      <c r="T486" s="22" t="str">
        <f aca="false">IF(R486="","",IF(R486&lt;=Q486,"Yes","No"))</f>
        <v/>
      </c>
      <c r="U486" s="22" t="str">
        <f aca="false">IF(B486="","",TEXT(YEAR(B486),"0"))</f>
        <v/>
      </c>
    </row>
    <row r="487" customFormat="false" ht="15" hidden="false" customHeight="false" outlineLevel="0" collapsed="false">
      <c r="B487" s="28"/>
      <c r="C487" s="24" t="str">
        <f aca="false">IF(B487="","",DATE(YEAR(B487),MONTH(B487),1))</f>
        <v/>
      </c>
      <c r="N487" s="26" t="str">
        <f aca="false">IF(L487="","",L487*M487)</f>
        <v/>
      </c>
      <c r="P487" s="26" t="str">
        <f aca="false">IF(L487="","",N487-L487*O487)</f>
        <v/>
      </c>
      <c r="T487" s="22" t="str">
        <f aca="false">IF(R487="","",IF(R487&lt;=Q487,"Yes","No"))</f>
        <v/>
      </c>
      <c r="U487" s="22" t="str">
        <f aca="false">IF(B487="","",TEXT(YEAR(B487),"0"))</f>
        <v/>
      </c>
    </row>
    <row r="488" customFormat="false" ht="15" hidden="false" customHeight="false" outlineLevel="0" collapsed="false">
      <c r="B488" s="28"/>
      <c r="C488" s="24" t="str">
        <f aca="false">IF(B488="","",DATE(YEAR(B488),MONTH(B488),1))</f>
        <v/>
      </c>
      <c r="N488" s="26" t="str">
        <f aca="false">IF(L488="","",L488*M488)</f>
        <v/>
      </c>
      <c r="P488" s="26" t="str">
        <f aca="false">IF(L488="","",N488-L488*O488)</f>
        <v/>
      </c>
      <c r="T488" s="22" t="str">
        <f aca="false">IF(R488="","",IF(R488&lt;=Q488,"Yes","No"))</f>
        <v/>
      </c>
      <c r="U488" s="22" t="str">
        <f aca="false">IF(B488="","",TEXT(YEAR(B488),"0"))</f>
        <v/>
      </c>
    </row>
    <row r="489" customFormat="false" ht="15" hidden="false" customHeight="false" outlineLevel="0" collapsed="false">
      <c r="B489" s="28"/>
      <c r="C489" s="24" t="str">
        <f aca="false">IF(B489="","",DATE(YEAR(B489),MONTH(B489),1))</f>
        <v/>
      </c>
      <c r="N489" s="26" t="str">
        <f aca="false">IF(L489="","",L489*M489)</f>
        <v/>
      </c>
      <c r="P489" s="26" t="str">
        <f aca="false">IF(L489="","",N489-L489*O489)</f>
        <v/>
      </c>
      <c r="T489" s="22" t="str">
        <f aca="false">IF(R489="","",IF(R489&lt;=Q489,"Yes","No"))</f>
        <v/>
      </c>
      <c r="U489" s="22" t="str">
        <f aca="false">IF(B489="","",TEXT(YEAR(B489),"0"))</f>
        <v/>
      </c>
    </row>
    <row r="490" customFormat="false" ht="15" hidden="false" customHeight="false" outlineLevel="0" collapsed="false">
      <c r="B490" s="28"/>
      <c r="C490" s="24" t="str">
        <f aca="false">IF(B490="","",DATE(YEAR(B490),MONTH(B490),1))</f>
        <v/>
      </c>
      <c r="N490" s="26" t="str">
        <f aca="false">IF(L490="","",L490*M490)</f>
        <v/>
      </c>
      <c r="P490" s="26" t="str">
        <f aca="false">IF(L490="","",N490-L490*O490)</f>
        <v/>
      </c>
      <c r="T490" s="22" t="str">
        <f aca="false">IF(R490="","",IF(R490&lt;=Q490,"Yes","No"))</f>
        <v/>
      </c>
      <c r="U490" s="22" t="str">
        <f aca="false">IF(B490="","",TEXT(YEAR(B490),"0"))</f>
        <v/>
      </c>
    </row>
    <row r="491" customFormat="false" ht="15" hidden="false" customHeight="false" outlineLevel="0" collapsed="false">
      <c r="B491" s="28"/>
      <c r="C491" s="24" t="str">
        <f aca="false">IF(B491="","",DATE(YEAR(B491),MONTH(B491),1))</f>
        <v/>
      </c>
      <c r="N491" s="26" t="str">
        <f aca="false">IF(L491="","",L491*M491)</f>
        <v/>
      </c>
      <c r="P491" s="26" t="str">
        <f aca="false">IF(L491="","",N491-L491*O491)</f>
        <v/>
      </c>
      <c r="T491" s="22" t="str">
        <f aca="false">IF(R491="","",IF(R491&lt;=Q491,"Yes","No"))</f>
        <v/>
      </c>
      <c r="U491" s="22" t="str">
        <f aca="false">IF(B491="","",TEXT(YEAR(B491),"0"))</f>
        <v/>
      </c>
    </row>
    <row r="492" customFormat="false" ht="15" hidden="false" customHeight="false" outlineLevel="0" collapsed="false">
      <c r="B492" s="28"/>
      <c r="C492" s="24" t="str">
        <f aca="false">IF(B492="","",DATE(YEAR(B492),MONTH(B492),1))</f>
        <v/>
      </c>
      <c r="N492" s="26" t="str">
        <f aca="false">IF(L492="","",L492*M492)</f>
        <v/>
      </c>
      <c r="P492" s="26" t="str">
        <f aca="false">IF(L492="","",N492-L492*O492)</f>
        <v/>
      </c>
      <c r="T492" s="22" t="str">
        <f aca="false">IF(R492="","",IF(R492&lt;=Q492,"Yes","No"))</f>
        <v/>
      </c>
      <c r="U492" s="22" t="str">
        <f aca="false">IF(B492="","",TEXT(YEAR(B492),"0"))</f>
        <v/>
      </c>
    </row>
    <row r="493" customFormat="false" ht="15" hidden="false" customHeight="false" outlineLevel="0" collapsed="false">
      <c r="B493" s="28"/>
      <c r="C493" s="24" t="str">
        <f aca="false">IF(B493="","",DATE(YEAR(B493),MONTH(B493),1))</f>
        <v/>
      </c>
      <c r="N493" s="26" t="str">
        <f aca="false">IF(L493="","",L493*M493)</f>
        <v/>
      </c>
      <c r="P493" s="26" t="str">
        <f aca="false">IF(L493="","",N493-L493*O493)</f>
        <v/>
      </c>
      <c r="T493" s="22" t="str">
        <f aca="false">IF(R493="","",IF(R493&lt;=Q493,"Yes","No"))</f>
        <v/>
      </c>
      <c r="U493" s="22" t="str">
        <f aca="false">IF(B493="","",TEXT(YEAR(B493),"0"))</f>
        <v/>
      </c>
    </row>
    <row r="494" customFormat="false" ht="15" hidden="false" customHeight="false" outlineLevel="0" collapsed="false">
      <c r="B494" s="28"/>
      <c r="C494" s="24" t="str">
        <f aca="false">IF(B494="","",DATE(YEAR(B494),MONTH(B494),1))</f>
        <v/>
      </c>
      <c r="N494" s="26" t="str">
        <f aca="false">IF(L494="","",L494*M494)</f>
        <v/>
      </c>
      <c r="P494" s="26" t="str">
        <f aca="false">IF(L494="","",N494-L494*O494)</f>
        <v/>
      </c>
      <c r="T494" s="22" t="str">
        <f aca="false">IF(R494="","",IF(R494&lt;=Q494,"Yes","No"))</f>
        <v/>
      </c>
      <c r="U494" s="22" t="str">
        <f aca="false">IF(B494="","",TEXT(YEAR(B494),"0"))</f>
        <v/>
      </c>
    </row>
    <row r="495" customFormat="false" ht="15" hidden="false" customHeight="false" outlineLevel="0" collapsed="false">
      <c r="B495" s="28"/>
      <c r="C495" s="24" t="str">
        <f aca="false">IF(B495="","",DATE(YEAR(B495),MONTH(B495),1))</f>
        <v/>
      </c>
      <c r="N495" s="26" t="str">
        <f aca="false">IF(L495="","",L495*M495)</f>
        <v/>
      </c>
      <c r="P495" s="26" t="str">
        <f aca="false">IF(L495="","",N495-L495*O495)</f>
        <v/>
      </c>
      <c r="T495" s="22" t="str">
        <f aca="false">IF(R495="","",IF(R495&lt;=Q495,"Yes","No"))</f>
        <v/>
      </c>
      <c r="U495" s="22" t="str">
        <f aca="false">IF(B495="","",TEXT(YEAR(B495),"0"))</f>
        <v/>
      </c>
    </row>
    <row r="496" customFormat="false" ht="15" hidden="false" customHeight="false" outlineLevel="0" collapsed="false">
      <c r="B496" s="28"/>
      <c r="C496" s="24" t="str">
        <f aca="false">IF(B496="","",DATE(YEAR(B496),MONTH(B496),1))</f>
        <v/>
      </c>
      <c r="N496" s="26" t="str">
        <f aca="false">IF(L496="","",L496*M496)</f>
        <v/>
      </c>
      <c r="P496" s="26" t="str">
        <f aca="false">IF(L496="","",N496-L496*O496)</f>
        <v/>
      </c>
      <c r="T496" s="22" t="str">
        <f aca="false">IF(R496="","",IF(R496&lt;=Q496,"Yes","No"))</f>
        <v/>
      </c>
      <c r="U496" s="22" t="str">
        <f aca="false">IF(B496="","",TEXT(YEAR(B496),"0"))</f>
        <v/>
      </c>
    </row>
    <row r="497" customFormat="false" ht="15" hidden="false" customHeight="false" outlineLevel="0" collapsed="false">
      <c r="B497" s="28"/>
      <c r="C497" s="24" t="str">
        <f aca="false">IF(B497="","",DATE(YEAR(B497),MONTH(B497),1))</f>
        <v/>
      </c>
      <c r="N497" s="26" t="str">
        <f aca="false">IF(L497="","",L497*M497)</f>
        <v/>
      </c>
      <c r="P497" s="26" t="str">
        <f aca="false">IF(L497="","",N497-L497*O497)</f>
        <v/>
      </c>
      <c r="T497" s="22" t="str">
        <f aca="false">IF(R497="","",IF(R497&lt;=Q497,"Yes","No"))</f>
        <v/>
      </c>
      <c r="U497" s="22" t="str">
        <f aca="false">IF(B497="","",TEXT(YEAR(B497),"0"))</f>
        <v/>
      </c>
    </row>
    <row r="498" customFormat="false" ht="15" hidden="false" customHeight="false" outlineLevel="0" collapsed="false">
      <c r="B498" s="28"/>
      <c r="C498" s="24" t="str">
        <f aca="false">IF(B498="","",DATE(YEAR(B498),MONTH(B498),1))</f>
        <v/>
      </c>
      <c r="N498" s="26" t="str">
        <f aca="false">IF(L498="","",L498*M498)</f>
        <v/>
      </c>
      <c r="P498" s="26" t="str">
        <f aca="false">IF(L498="","",N498-L498*O498)</f>
        <v/>
      </c>
      <c r="T498" s="22" t="str">
        <f aca="false">IF(R498="","",IF(R498&lt;=Q498,"Yes","No"))</f>
        <v/>
      </c>
      <c r="U498" s="22" t="str">
        <f aca="false">IF(B498="","",TEXT(YEAR(B498),"0"))</f>
        <v/>
      </c>
    </row>
    <row r="499" customFormat="false" ht="15" hidden="false" customHeight="false" outlineLevel="0" collapsed="false">
      <c r="B499" s="28"/>
      <c r="C499" s="24" t="str">
        <f aca="false">IF(B499="","",DATE(YEAR(B499),MONTH(B499),1))</f>
        <v/>
      </c>
      <c r="N499" s="26" t="str">
        <f aca="false">IF(L499="","",L499*M499)</f>
        <v/>
      </c>
      <c r="P499" s="26" t="str">
        <f aca="false">IF(L499="","",N499-L499*O499)</f>
        <v/>
      </c>
      <c r="T499" s="22" t="str">
        <f aca="false">IF(R499="","",IF(R499&lt;=Q499,"Yes","No"))</f>
        <v/>
      </c>
      <c r="U499" s="22" t="str">
        <f aca="false">IF(B499="","",TEXT(YEAR(B499),"0"))</f>
        <v/>
      </c>
    </row>
    <row r="500" customFormat="false" ht="15" hidden="false" customHeight="false" outlineLevel="0" collapsed="false">
      <c r="B500" s="28"/>
      <c r="C500" s="24" t="str">
        <f aca="false">IF(B500="","",DATE(YEAR(B500),MONTH(B500),1))</f>
        <v/>
      </c>
      <c r="N500" s="26" t="str">
        <f aca="false">IF(L500="","",L500*M500)</f>
        <v/>
      </c>
      <c r="P500" s="26" t="str">
        <f aca="false">IF(L500="","",N500-L500*O500)</f>
        <v/>
      </c>
      <c r="T500" s="22" t="str">
        <f aca="false">IF(R500="","",IF(R500&lt;=Q500,"Yes","No"))</f>
        <v/>
      </c>
      <c r="U500" s="22" t="str">
        <f aca="false">IF(B500="","",TEXT(YEAR(B500),"0"))</f>
        <v/>
      </c>
    </row>
    <row r="501" customFormat="false" ht="15" hidden="false" customHeight="false" outlineLevel="0" collapsed="false">
      <c r="B501" s="28"/>
      <c r="C501" s="24" t="str">
        <f aca="false">IF(B501="","",DATE(YEAR(B501),MONTH(B501),1))</f>
        <v/>
      </c>
      <c r="N501" s="26" t="str">
        <f aca="false">IF(L501="","",L501*M501)</f>
        <v/>
      </c>
      <c r="P501" s="26" t="str">
        <f aca="false">IF(L501="","",N501-L501*O501)</f>
        <v/>
      </c>
      <c r="T501" s="22" t="str">
        <f aca="false">IF(R501="","",IF(R501&lt;=Q501,"Yes","No"))</f>
        <v/>
      </c>
      <c r="U501" s="22" t="str">
        <f aca="false">IF(B501="","",TEXT(YEAR(B501),"0"))</f>
        <v/>
      </c>
    </row>
    <row r="502" customFormat="false" ht="15" hidden="false" customHeight="false" outlineLevel="0" collapsed="false">
      <c r="B502" s="28"/>
      <c r="C502" s="24" t="str">
        <f aca="false">IF(B502="","",DATE(YEAR(B502),MONTH(B502),1))</f>
        <v/>
      </c>
      <c r="N502" s="26" t="str">
        <f aca="false">IF(L502="","",L502*M502)</f>
        <v/>
      </c>
      <c r="P502" s="26" t="str">
        <f aca="false">IF(L502="","",N502-L502*O502)</f>
        <v/>
      </c>
      <c r="T502" s="22" t="str">
        <f aca="false">IF(R502="","",IF(R502&lt;=Q502,"Yes","No"))</f>
        <v/>
      </c>
      <c r="U502" s="22" t="str">
        <f aca="false">IF(B502="","",TEXT(YEAR(B502),"0"))</f>
        <v/>
      </c>
    </row>
    <row r="503" customFormat="false" ht="15" hidden="false" customHeight="false" outlineLevel="0" collapsed="false">
      <c r="B503" s="28"/>
      <c r="C503" s="24" t="str">
        <f aca="false">IF(B503="","",DATE(YEAR(B503),MONTH(B503),1))</f>
        <v/>
      </c>
      <c r="N503" s="26" t="str">
        <f aca="false">IF(L503="","",L503*M503)</f>
        <v/>
      </c>
      <c r="P503" s="26" t="str">
        <f aca="false">IF(L503="","",N503-L503*O503)</f>
        <v/>
      </c>
      <c r="T503" s="22" t="str">
        <f aca="false">IF(R503="","",IF(R503&lt;=Q503,"Yes","No"))</f>
        <v/>
      </c>
      <c r="U503" s="22" t="str">
        <f aca="false">IF(B503="","",TEXT(YEAR(B503),"0"))</f>
        <v/>
      </c>
    </row>
    <row r="504" customFormat="false" ht="15" hidden="false" customHeight="false" outlineLevel="0" collapsed="false">
      <c r="B504" s="28"/>
      <c r="C504" s="24" t="str">
        <f aca="false">IF(B504="","",DATE(YEAR(B504),MONTH(B504),1))</f>
        <v/>
      </c>
      <c r="N504" s="26" t="str">
        <f aca="false">IF(L504="","",L504*M504)</f>
        <v/>
      </c>
      <c r="P504" s="26" t="str">
        <f aca="false">IF(L504="","",N504-L504*O504)</f>
        <v/>
      </c>
      <c r="T504" s="22" t="str">
        <f aca="false">IF(R504="","",IF(R504&lt;=Q504,"Yes","No"))</f>
        <v/>
      </c>
      <c r="U504" s="22" t="str">
        <f aca="false">IF(B504="","",TEXT(YEAR(B504),"0"))</f>
        <v/>
      </c>
    </row>
    <row r="505" customFormat="false" ht="15" hidden="false" customHeight="false" outlineLevel="0" collapsed="false">
      <c r="B505" s="28"/>
      <c r="C505" s="24" t="str">
        <f aca="false">IF(B505="","",DATE(YEAR(B505),MONTH(B505),1))</f>
        <v/>
      </c>
      <c r="N505" s="26" t="str">
        <f aca="false">IF(L505="","",L505*M505)</f>
        <v/>
      </c>
      <c r="P505" s="26" t="str">
        <f aca="false">IF(L505="","",N505-L505*O505)</f>
        <v/>
      </c>
      <c r="T505" s="22" t="str">
        <f aca="false">IF(R505="","",IF(R505&lt;=Q505,"Yes","No"))</f>
        <v/>
      </c>
      <c r="U505" s="22" t="str">
        <f aca="false">IF(B505="","",TEXT(YEAR(B505),"0"))</f>
        <v/>
      </c>
    </row>
    <row r="506" customFormat="false" ht="15" hidden="false" customHeight="false" outlineLevel="0" collapsed="false">
      <c r="B506" s="28"/>
      <c r="C506" s="24" t="str">
        <f aca="false">IF(B506="","",DATE(YEAR(B506),MONTH(B506),1))</f>
        <v/>
      </c>
      <c r="N506" s="26" t="str">
        <f aca="false">IF(L506="","",L506*M506)</f>
        <v/>
      </c>
      <c r="P506" s="26" t="str">
        <f aca="false">IF(L506="","",N506-L506*O506)</f>
        <v/>
      </c>
      <c r="T506" s="22" t="str">
        <f aca="false">IF(R506="","",IF(R506&lt;=Q506,"Yes","No"))</f>
        <v/>
      </c>
      <c r="U506" s="22" t="str">
        <f aca="false">IF(B506="","",TEXT(YEAR(B506),"0"))</f>
        <v/>
      </c>
    </row>
    <row r="507" customFormat="false" ht="15" hidden="false" customHeight="false" outlineLevel="0" collapsed="false">
      <c r="B507" s="28"/>
      <c r="C507" s="24" t="str">
        <f aca="false">IF(B507="","",DATE(YEAR(B507),MONTH(B507),1))</f>
        <v/>
      </c>
      <c r="N507" s="26" t="str">
        <f aca="false">IF(L507="","",L507*M507)</f>
        <v/>
      </c>
      <c r="P507" s="26" t="str">
        <f aca="false">IF(L507="","",N507-L507*O507)</f>
        <v/>
      </c>
      <c r="T507" s="22" t="str">
        <f aca="false">IF(R507="","",IF(R507&lt;=Q507,"Yes","No"))</f>
        <v/>
      </c>
      <c r="U507" s="22" t="str">
        <f aca="false">IF(B507="","",TEXT(YEAR(B507),"0"))</f>
        <v/>
      </c>
    </row>
    <row r="508" customFormat="false" ht="15" hidden="false" customHeight="false" outlineLevel="0" collapsed="false">
      <c r="B508" s="28"/>
      <c r="C508" s="24" t="str">
        <f aca="false">IF(B508="","",DATE(YEAR(B508),MONTH(B508),1))</f>
        <v/>
      </c>
      <c r="N508" s="26" t="str">
        <f aca="false">IF(L508="","",L508*M508)</f>
        <v/>
      </c>
      <c r="P508" s="26" t="str">
        <f aca="false">IF(L508="","",N508-L508*O508)</f>
        <v/>
      </c>
      <c r="T508" s="22" t="str">
        <f aca="false">IF(R508="","",IF(R508&lt;=Q508,"Yes","No"))</f>
        <v/>
      </c>
      <c r="U508" s="22" t="str">
        <f aca="false">IF(B508="","",TEXT(YEAR(B508),"0"))</f>
        <v/>
      </c>
    </row>
    <row r="509" customFormat="false" ht="15" hidden="false" customHeight="false" outlineLevel="0" collapsed="false">
      <c r="B509" s="28"/>
      <c r="C509" s="24" t="str">
        <f aca="false">IF(B509="","",DATE(YEAR(B509),MONTH(B509),1))</f>
        <v/>
      </c>
      <c r="N509" s="26" t="str">
        <f aca="false">IF(L509="","",L509*M509)</f>
        <v/>
      </c>
      <c r="P509" s="26" t="str">
        <f aca="false">IF(L509="","",N509-L509*O509)</f>
        <v/>
      </c>
      <c r="T509" s="22" t="str">
        <f aca="false">IF(R509="","",IF(R509&lt;=Q509,"Yes","No"))</f>
        <v/>
      </c>
      <c r="U509" s="22" t="str">
        <f aca="false">IF(B509="","",TEXT(YEAR(B509),"0"))</f>
        <v/>
      </c>
    </row>
    <row r="510" customFormat="false" ht="15" hidden="false" customHeight="false" outlineLevel="0" collapsed="false">
      <c r="B510" s="28"/>
      <c r="C510" s="24" t="str">
        <f aca="false">IF(B510="","",DATE(YEAR(B510),MONTH(B510),1))</f>
        <v/>
      </c>
      <c r="N510" s="26" t="str">
        <f aca="false">IF(L510="","",L510*M510)</f>
        <v/>
      </c>
      <c r="P510" s="26" t="str">
        <f aca="false">IF(L510="","",N510-L510*O510)</f>
        <v/>
      </c>
      <c r="T510" s="22" t="str">
        <f aca="false">IF(R510="","",IF(R510&lt;=Q510,"Yes","No"))</f>
        <v/>
      </c>
      <c r="U510" s="22" t="str">
        <f aca="false">IF(B510="","",TEXT(YEAR(B510),"0"))</f>
        <v/>
      </c>
    </row>
    <row r="511" customFormat="false" ht="15" hidden="false" customHeight="false" outlineLevel="0" collapsed="false">
      <c r="B511" s="28"/>
      <c r="C511" s="24" t="str">
        <f aca="false">IF(B511="","",DATE(YEAR(B511),MONTH(B511),1))</f>
        <v/>
      </c>
      <c r="N511" s="26" t="str">
        <f aca="false">IF(L511="","",L511*M511)</f>
        <v/>
      </c>
      <c r="P511" s="26" t="str">
        <f aca="false">IF(L511="","",N511-L511*O511)</f>
        <v/>
      </c>
      <c r="T511" s="22" t="str">
        <f aca="false">IF(R511="","",IF(R511&lt;=Q511,"Yes","No"))</f>
        <v/>
      </c>
      <c r="U511" s="22" t="str">
        <f aca="false">IF(B511="","",TEXT(YEAR(B511),"0"))</f>
        <v/>
      </c>
    </row>
    <row r="512" customFormat="false" ht="15" hidden="false" customHeight="false" outlineLevel="0" collapsed="false">
      <c r="B512" s="28"/>
      <c r="C512" s="24" t="str">
        <f aca="false">IF(B512="","",DATE(YEAR(B512),MONTH(B512),1))</f>
        <v/>
      </c>
      <c r="N512" s="26" t="str">
        <f aca="false">IF(L512="","",L512*M512)</f>
        <v/>
      </c>
      <c r="P512" s="26" t="str">
        <f aca="false">IF(L512="","",N512-L512*O512)</f>
        <v/>
      </c>
      <c r="T512" s="22" t="str">
        <f aca="false">IF(R512="","",IF(R512&lt;=Q512,"Yes","No"))</f>
        <v/>
      </c>
      <c r="U512" s="22" t="str">
        <f aca="false">IF(B512="","",TEXT(YEAR(B512),"0"))</f>
        <v/>
      </c>
    </row>
    <row r="513" customFormat="false" ht="15" hidden="false" customHeight="false" outlineLevel="0" collapsed="false">
      <c r="B513" s="28"/>
      <c r="C513" s="24" t="str">
        <f aca="false">IF(B513="","",DATE(YEAR(B513),MONTH(B513),1))</f>
        <v/>
      </c>
      <c r="N513" s="26" t="str">
        <f aca="false">IF(L513="","",L513*M513)</f>
        <v/>
      </c>
      <c r="P513" s="26" t="str">
        <f aca="false">IF(L513="","",N513-L513*O513)</f>
        <v/>
      </c>
      <c r="T513" s="22" t="str">
        <f aca="false">IF(R513="","",IF(R513&lt;=Q513,"Yes","No"))</f>
        <v/>
      </c>
      <c r="U513" s="22" t="str">
        <f aca="false">IF(B513="","",TEXT(YEAR(B513),"0"))</f>
        <v/>
      </c>
    </row>
    <row r="514" customFormat="false" ht="15" hidden="false" customHeight="false" outlineLevel="0" collapsed="false">
      <c r="B514" s="28"/>
      <c r="C514" s="24" t="str">
        <f aca="false">IF(B514="","",DATE(YEAR(B514),MONTH(B514),1))</f>
        <v/>
      </c>
      <c r="N514" s="26" t="str">
        <f aca="false">IF(L514="","",L514*M514)</f>
        <v/>
      </c>
      <c r="P514" s="26" t="str">
        <f aca="false">IF(L514="","",N514-L514*O514)</f>
        <v/>
      </c>
      <c r="T514" s="22" t="str">
        <f aca="false">IF(R514="","",IF(R514&lt;=Q514,"Yes","No"))</f>
        <v/>
      </c>
      <c r="U514" s="22" t="str">
        <f aca="false">IF(B514="","",TEXT(YEAR(B514),"0"))</f>
        <v/>
      </c>
    </row>
    <row r="515" customFormat="false" ht="15" hidden="false" customHeight="false" outlineLevel="0" collapsed="false">
      <c r="B515" s="28"/>
      <c r="C515" s="24" t="str">
        <f aca="false">IF(B515="","",DATE(YEAR(B515),MONTH(B515),1))</f>
        <v/>
      </c>
      <c r="N515" s="26" t="str">
        <f aca="false">IF(L515="","",L515*M515)</f>
        <v/>
      </c>
      <c r="P515" s="26" t="str">
        <f aca="false">IF(L515="","",N515-L515*O515)</f>
        <v/>
      </c>
      <c r="T515" s="22" t="str">
        <f aca="false">IF(R515="","",IF(R515&lt;=Q515,"Yes","No"))</f>
        <v/>
      </c>
      <c r="U515" s="22" t="str">
        <f aca="false">IF(B515="","",TEXT(YEAR(B515),"0"))</f>
        <v/>
      </c>
    </row>
    <row r="516" customFormat="false" ht="15" hidden="false" customHeight="false" outlineLevel="0" collapsed="false">
      <c r="B516" s="28"/>
      <c r="C516" s="24" t="str">
        <f aca="false">IF(B516="","",DATE(YEAR(B516),MONTH(B516),1))</f>
        <v/>
      </c>
      <c r="N516" s="26" t="str">
        <f aca="false">IF(L516="","",L516*M516)</f>
        <v/>
      </c>
      <c r="P516" s="26" t="str">
        <f aca="false">IF(L516="","",N516-L516*O516)</f>
        <v/>
      </c>
      <c r="T516" s="22" t="str">
        <f aca="false">IF(R516="","",IF(R516&lt;=Q516,"Yes","No"))</f>
        <v/>
      </c>
      <c r="U516" s="22" t="str">
        <f aca="false">IF(B516="","",TEXT(YEAR(B516),"0"))</f>
        <v/>
      </c>
    </row>
    <row r="517" customFormat="false" ht="15" hidden="false" customHeight="false" outlineLevel="0" collapsed="false">
      <c r="B517" s="28"/>
      <c r="C517" s="24" t="str">
        <f aca="false">IF(B517="","",DATE(YEAR(B517),MONTH(B517),1))</f>
        <v/>
      </c>
      <c r="N517" s="26" t="str">
        <f aca="false">IF(L517="","",L517*M517)</f>
        <v/>
      </c>
      <c r="P517" s="26" t="str">
        <f aca="false">IF(L517="","",N517-L517*O517)</f>
        <v/>
      </c>
      <c r="T517" s="22" t="str">
        <f aca="false">IF(R517="","",IF(R517&lt;=Q517,"Yes","No"))</f>
        <v/>
      </c>
      <c r="U517" s="22" t="str">
        <f aca="false">IF(B517="","",TEXT(YEAR(B517),"0"))</f>
        <v/>
      </c>
    </row>
    <row r="518" customFormat="false" ht="15" hidden="false" customHeight="false" outlineLevel="0" collapsed="false">
      <c r="B518" s="28"/>
      <c r="C518" s="24" t="str">
        <f aca="false">IF(B518="","",DATE(YEAR(B518),MONTH(B518),1))</f>
        <v/>
      </c>
      <c r="N518" s="26" t="str">
        <f aca="false">IF(L518="","",L518*M518)</f>
        <v/>
      </c>
      <c r="P518" s="26" t="str">
        <f aca="false">IF(L518="","",N518-L518*O518)</f>
        <v/>
      </c>
      <c r="T518" s="22" t="str">
        <f aca="false">IF(R518="","",IF(R518&lt;=Q518,"Yes","No"))</f>
        <v/>
      </c>
      <c r="U518" s="22" t="str">
        <f aca="false">IF(B518="","",TEXT(YEAR(B518),"0"))</f>
        <v/>
      </c>
    </row>
    <row r="519" customFormat="false" ht="15" hidden="false" customHeight="false" outlineLevel="0" collapsed="false">
      <c r="B519" s="28"/>
      <c r="C519" s="24" t="str">
        <f aca="false">IF(B519="","",DATE(YEAR(B519),MONTH(B519),1))</f>
        <v/>
      </c>
      <c r="N519" s="26" t="str">
        <f aca="false">IF(L519="","",L519*M519)</f>
        <v/>
      </c>
      <c r="P519" s="26" t="str">
        <f aca="false">IF(L519="","",N519-L519*O519)</f>
        <v/>
      </c>
      <c r="T519" s="22" t="str">
        <f aca="false">IF(R519="","",IF(R519&lt;=Q519,"Yes","No"))</f>
        <v/>
      </c>
      <c r="U519" s="22" t="str">
        <f aca="false">IF(B519="","",TEXT(YEAR(B519),"0"))</f>
        <v/>
      </c>
    </row>
    <row r="520" customFormat="false" ht="15" hidden="false" customHeight="false" outlineLevel="0" collapsed="false">
      <c r="B520" s="28"/>
      <c r="C520" s="24" t="str">
        <f aca="false">IF(B520="","",DATE(YEAR(B520),MONTH(B520),1))</f>
        <v/>
      </c>
      <c r="N520" s="26" t="str">
        <f aca="false">IF(L520="","",L520*M520)</f>
        <v/>
      </c>
      <c r="P520" s="26" t="str">
        <f aca="false">IF(L520="","",N520-L520*O520)</f>
        <v/>
      </c>
      <c r="T520" s="22" t="str">
        <f aca="false">IF(R520="","",IF(R520&lt;=Q520,"Yes","No"))</f>
        <v/>
      </c>
      <c r="U520" s="22" t="str">
        <f aca="false">IF(B520="","",TEXT(YEAR(B520),"0"))</f>
        <v/>
      </c>
    </row>
    <row r="521" customFormat="false" ht="15" hidden="false" customHeight="false" outlineLevel="0" collapsed="false">
      <c r="B521" s="28"/>
      <c r="C521" s="24" t="str">
        <f aca="false">IF(B521="","",DATE(YEAR(B521),MONTH(B521),1))</f>
        <v/>
      </c>
      <c r="N521" s="26" t="str">
        <f aca="false">IF(L521="","",L521*M521)</f>
        <v/>
      </c>
      <c r="P521" s="26" t="str">
        <f aca="false">IF(L521="","",N521-L521*O521)</f>
        <v/>
      </c>
      <c r="T521" s="22" t="str">
        <f aca="false">IF(R521="","",IF(R521&lt;=Q521,"Yes","No"))</f>
        <v/>
      </c>
      <c r="U521" s="22" t="str">
        <f aca="false">IF(B521="","",TEXT(YEAR(B521),"0"))</f>
        <v/>
      </c>
    </row>
    <row r="522" customFormat="false" ht="15" hidden="false" customHeight="false" outlineLevel="0" collapsed="false">
      <c r="B522" s="28"/>
      <c r="C522" s="24" t="str">
        <f aca="false">IF(B522="","",DATE(YEAR(B522),MONTH(B522),1))</f>
        <v/>
      </c>
      <c r="N522" s="26" t="str">
        <f aca="false">IF(L522="","",L522*M522)</f>
        <v/>
      </c>
      <c r="P522" s="26" t="str">
        <f aca="false">IF(L522="","",N522-L522*O522)</f>
        <v/>
      </c>
      <c r="T522" s="22" t="str">
        <f aca="false">IF(R522="","",IF(R522&lt;=Q522,"Yes","No"))</f>
        <v/>
      </c>
      <c r="U522" s="22" t="str">
        <f aca="false">IF(B522="","",TEXT(YEAR(B522),"0"))</f>
        <v/>
      </c>
    </row>
    <row r="523" customFormat="false" ht="15" hidden="false" customHeight="false" outlineLevel="0" collapsed="false">
      <c r="B523" s="28"/>
      <c r="C523" s="24" t="str">
        <f aca="false">IF(B523="","",DATE(YEAR(B523),MONTH(B523),1))</f>
        <v/>
      </c>
      <c r="N523" s="26" t="str">
        <f aca="false">IF(L523="","",L523*M523)</f>
        <v/>
      </c>
      <c r="P523" s="26" t="str">
        <f aca="false">IF(L523="","",N523-L523*O523)</f>
        <v/>
      </c>
      <c r="T523" s="22" t="str">
        <f aca="false">IF(R523="","",IF(R523&lt;=Q523,"Yes","No"))</f>
        <v/>
      </c>
      <c r="U523" s="22" t="str">
        <f aca="false">IF(B523="","",TEXT(YEAR(B523),"0"))</f>
        <v/>
      </c>
    </row>
    <row r="524" customFormat="false" ht="15" hidden="false" customHeight="false" outlineLevel="0" collapsed="false">
      <c r="B524" s="28"/>
      <c r="C524" s="24" t="str">
        <f aca="false">IF(B524="","",DATE(YEAR(B524),MONTH(B524),1))</f>
        <v/>
      </c>
      <c r="N524" s="26" t="str">
        <f aca="false">IF(L524="","",L524*M524)</f>
        <v/>
      </c>
      <c r="P524" s="26" t="str">
        <f aca="false">IF(L524="","",N524-L524*O524)</f>
        <v/>
      </c>
      <c r="T524" s="22" t="str">
        <f aca="false">IF(R524="","",IF(R524&lt;=Q524,"Yes","No"))</f>
        <v/>
      </c>
      <c r="U524" s="22" t="str">
        <f aca="false">IF(B524="","",TEXT(YEAR(B524),"0"))</f>
        <v/>
      </c>
    </row>
    <row r="525" customFormat="false" ht="15" hidden="false" customHeight="false" outlineLevel="0" collapsed="false">
      <c r="B525" s="28"/>
      <c r="C525" s="24" t="str">
        <f aca="false">IF(B525="","",DATE(YEAR(B525),MONTH(B525),1))</f>
        <v/>
      </c>
      <c r="N525" s="26" t="str">
        <f aca="false">IF(L525="","",L525*M525)</f>
        <v/>
      </c>
      <c r="P525" s="26" t="str">
        <f aca="false">IF(L525="","",N525-L525*O525)</f>
        <v/>
      </c>
      <c r="T525" s="22" t="str">
        <f aca="false">IF(R525="","",IF(R525&lt;=Q525,"Yes","No"))</f>
        <v/>
      </c>
      <c r="U525" s="22" t="str">
        <f aca="false">IF(B525="","",TEXT(YEAR(B525),"0"))</f>
        <v/>
      </c>
    </row>
    <row r="526" customFormat="false" ht="15" hidden="false" customHeight="false" outlineLevel="0" collapsed="false">
      <c r="B526" s="28"/>
      <c r="C526" s="24" t="str">
        <f aca="false">IF(B526="","",DATE(YEAR(B526),MONTH(B526),1))</f>
        <v/>
      </c>
      <c r="N526" s="26" t="str">
        <f aca="false">IF(L526="","",L526*M526)</f>
        <v/>
      </c>
      <c r="P526" s="26" t="str">
        <f aca="false">IF(L526="","",N526-L526*O526)</f>
        <v/>
      </c>
      <c r="T526" s="22" t="str">
        <f aca="false">IF(R526="","",IF(R526&lt;=Q526,"Yes","No"))</f>
        <v/>
      </c>
      <c r="U526" s="22" t="str">
        <f aca="false">IF(B526="","",TEXT(YEAR(B526),"0"))</f>
        <v/>
      </c>
    </row>
    <row r="527" customFormat="false" ht="15" hidden="false" customHeight="false" outlineLevel="0" collapsed="false">
      <c r="B527" s="28"/>
      <c r="C527" s="24" t="str">
        <f aca="false">IF(B527="","",DATE(YEAR(B527),MONTH(B527),1))</f>
        <v/>
      </c>
      <c r="N527" s="26" t="str">
        <f aca="false">IF(L527="","",L527*M527)</f>
        <v/>
      </c>
      <c r="P527" s="26" t="str">
        <f aca="false">IF(L527="","",N527-L527*O527)</f>
        <v/>
      </c>
      <c r="T527" s="22" t="str">
        <f aca="false">IF(R527="","",IF(R527&lt;=Q527,"Yes","No"))</f>
        <v/>
      </c>
      <c r="U527" s="22" t="str">
        <f aca="false">IF(B527="","",TEXT(YEAR(B527),"0"))</f>
        <v/>
      </c>
    </row>
    <row r="528" customFormat="false" ht="15" hidden="false" customHeight="false" outlineLevel="0" collapsed="false">
      <c r="B528" s="28"/>
      <c r="C528" s="24" t="str">
        <f aca="false">IF(B528="","",DATE(YEAR(B528),MONTH(B528),1))</f>
        <v/>
      </c>
      <c r="N528" s="26" t="str">
        <f aca="false">IF(L528="","",L528*M528)</f>
        <v/>
      </c>
      <c r="P528" s="26" t="str">
        <f aca="false">IF(L528="","",N528-L528*O528)</f>
        <v/>
      </c>
      <c r="T528" s="22" t="str">
        <f aca="false">IF(R528="","",IF(R528&lt;=Q528,"Yes","No"))</f>
        <v/>
      </c>
      <c r="U528" s="22" t="str">
        <f aca="false">IF(B528="","",TEXT(YEAR(B528),"0"))</f>
        <v/>
      </c>
    </row>
    <row r="529" customFormat="false" ht="15" hidden="false" customHeight="false" outlineLevel="0" collapsed="false">
      <c r="B529" s="28"/>
      <c r="C529" s="24" t="str">
        <f aca="false">IF(B529="","",DATE(YEAR(B529),MONTH(B529),1))</f>
        <v/>
      </c>
      <c r="N529" s="26" t="str">
        <f aca="false">IF(L529="","",L529*M529)</f>
        <v/>
      </c>
      <c r="P529" s="26" t="str">
        <f aca="false">IF(L529="","",N529-L529*O529)</f>
        <v/>
      </c>
      <c r="T529" s="22" t="str">
        <f aca="false">IF(R529="","",IF(R529&lt;=Q529,"Yes","No"))</f>
        <v/>
      </c>
      <c r="U529" s="22" t="str">
        <f aca="false">IF(B529="","",TEXT(YEAR(B529),"0"))</f>
        <v/>
      </c>
    </row>
    <row r="530" customFormat="false" ht="15" hidden="false" customHeight="false" outlineLevel="0" collapsed="false">
      <c r="B530" s="28"/>
      <c r="C530" s="24" t="str">
        <f aca="false">IF(B530="","",DATE(YEAR(B530),MONTH(B530),1))</f>
        <v/>
      </c>
      <c r="N530" s="26" t="str">
        <f aca="false">IF(L530="","",L530*M530)</f>
        <v/>
      </c>
      <c r="P530" s="26" t="str">
        <f aca="false">IF(L530="","",N530-L530*O530)</f>
        <v/>
      </c>
      <c r="T530" s="22" t="str">
        <f aca="false">IF(R530="","",IF(R530&lt;=Q530,"Yes","No"))</f>
        <v/>
      </c>
      <c r="U530" s="22" t="str">
        <f aca="false">IF(B530="","",TEXT(YEAR(B530),"0"))</f>
        <v/>
      </c>
    </row>
    <row r="531" customFormat="false" ht="15" hidden="false" customHeight="false" outlineLevel="0" collapsed="false">
      <c r="B531" s="28"/>
      <c r="C531" s="24" t="str">
        <f aca="false">IF(B531="","",DATE(YEAR(B531),MONTH(B531),1))</f>
        <v/>
      </c>
      <c r="N531" s="26" t="str">
        <f aca="false">IF(L531="","",L531*M531)</f>
        <v/>
      </c>
      <c r="P531" s="26" t="str">
        <f aca="false">IF(L531="","",N531-L531*O531)</f>
        <v/>
      </c>
      <c r="T531" s="22" t="str">
        <f aca="false">IF(R531="","",IF(R531&lt;=Q531,"Yes","No"))</f>
        <v/>
      </c>
      <c r="U531" s="22" t="str">
        <f aca="false">IF(B531="","",TEXT(YEAR(B531),"0"))</f>
        <v/>
      </c>
    </row>
    <row r="532" customFormat="false" ht="15" hidden="false" customHeight="false" outlineLevel="0" collapsed="false">
      <c r="B532" s="28"/>
      <c r="C532" s="24" t="str">
        <f aca="false">IF(B532="","",DATE(YEAR(B532),MONTH(B532),1))</f>
        <v/>
      </c>
      <c r="N532" s="26" t="str">
        <f aca="false">IF(L532="","",L532*M532)</f>
        <v/>
      </c>
      <c r="P532" s="26" t="str">
        <f aca="false">IF(L532="","",N532-L532*O532)</f>
        <v/>
      </c>
      <c r="T532" s="22" t="str">
        <f aca="false">IF(R532="","",IF(R532&lt;=Q532,"Yes","No"))</f>
        <v/>
      </c>
      <c r="U532" s="22" t="str">
        <f aca="false">IF(B532="","",TEXT(YEAR(B532),"0"))</f>
        <v/>
      </c>
    </row>
    <row r="533" customFormat="false" ht="15" hidden="false" customHeight="false" outlineLevel="0" collapsed="false">
      <c r="B533" s="28"/>
      <c r="C533" s="24" t="str">
        <f aca="false">IF(B533="","",DATE(YEAR(B533),MONTH(B533),1))</f>
        <v/>
      </c>
      <c r="N533" s="26" t="str">
        <f aca="false">IF(L533="","",L533*M533)</f>
        <v/>
      </c>
      <c r="P533" s="26" t="str">
        <f aca="false">IF(L533="","",N533-L533*O533)</f>
        <v/>
      </c>
      <c r="T533" s="22" t="str">
        <f aca="false">IF(R533="","",IF(R533&lt;=Q533,"Yes","No"))</f>
        <v/>
      </c>
      <c r="U533" s="22" t="str">
        <f aca="false">IF(B533="","",TEXT(YEAR(B533),"0"))</f>
        <v/>
      </c>
    </row>
    <row r="534" customFormat="false" ht="15" hidden="false" customHeight="false" outlineLevel="0" collapsed="false">
      <c r="B534" s="28"/>
      <c r="C534" s="24" t="str">
        <f aca="false">IF(B534="","",DATE(YEAR(B534),MONTH(B534),1))</f>
        <v/>
      </c>
      <c r="N534" s="26" t="str">
        <f aca="false">IF(L534="","",L534*M534)</f>
        <v/>
      </c>
      <c r="P534" s="26" t="str">
        <f aca="false">IF(L534="","",N534-L534*O534)</f>
        <v/>
      </c>
      <c r="T534" s="22" t="str">
        <f aca="false">IF(R534="","",IF(R534&lt;=Q534,"Yes","No"))</f>
        <v/>
      </c>
      <c r="U534" s="22" t="str">
        <f aca="false">IF(B534="","",TEXT(YEAR(B534),"0"))</f>
        <v/>
      </c>
    </row>
    <row r="535" customFormat="false" ht="15" hidden="false" customHeight="false" outlineLevel="0" collapsed="false">
      <c r="B535" s="28"/>
      <c r="C535" s="24" t="str">
        <f aca="false">IF(B535="","",DATE(YEAR(B535),MONTH(B535),1))</f>
        <v/>
      </c>
      <c r="N535" s="26" t="str">
        <f aca="false">IF(L535="","",L535*M535)</f>
        <v/>
      </c>
      <c r="P535" s="26" t="str">
        <f aca="false">IF(L535="","",N535-L535*O535)</f>
        <v/>
      </c>
      <c r="T535" s="22" t="str">
        <f aca="false">IF(R535="","",IF(R535&lt;=Q535,"Yes","No"))</f>
        <v/>
      </c>
      <c r="U535" s="22" t="str">
        <f aca="false">IF(B535="","",TEXT(YEAR(B535),"0"))</f>
        <v/>
      </c>
    </row>
    <row r="536" customFormat="false" ht="15" hidden="false" customHeight="false" outlineLevel="0" collapsed="false">
      <c r="B536" s="28"/>
      <c r="C536" s="24" t="str">
        <f aca="false">IF(B536="","",DATE(YEAR(B536),MONTH(B536),1))</f>
        <v/>
      </c>
      <c r="N536" s="26" t="str">
        <f aca="false">IF(L536="","",L536*M536)</f>
        <v/>
      </c>
      <c r="P536" s="26" t="str">
        <f aca="false">IF(L536="","",N536-L536*O536)</f>
        <v/>
      </c>
      <c r="T536" s="22" t="str">
        <f aca="false">IF(R536="","",IF(R536&lt;=Q536,"Yes","No"))</f>
        <v/>
      </c>
      <c r="U536" s="22" t="str">
        <f aca="false">IF(B536="","",TEXT(YEAR(B536),"0"))</f>
        <v/>
      </c>
    </row>
    <row r="537" customFormat="false" ht="15" hidden="false" customHeight="false" outlineLevel="0" collapsed="false">
      <c r="B537" s="28"/>
      <c r="C537" s="24" t="str">
        <f aca="false">IF(B537="","",DATE(YEAR(B537),MONTH(B537),1))</f>
        <v/>
      </c>
      <c r="N537" s="26" t="str">
        <f aca="false">IF(L537="","",L537*M537)</f>
        <v/>
      </c>
      <c r="P537" s="26" t="str">
        <f aca="false">IF(L537="","",N537-L537*O537)</f>
        <v/>
      </c>
      <c r="T537" s="22" t="str">
        <f aca="false">IF(R537="","",IF(R537&lt;=Q537,"Yes","No"))</f>
        <v/>
      </c>
      <c r="U537" s="22" t="str">
        <f aca="false">IF(B537="","",TEXT(YEAR(B537),"0"))</f>
        <v/>
      </c>
    </row>
    <row r="538" customFormat="false" ht="15" hidden="false" customHeight="false" outlineLevel="0" collapsed="false">
      <c r="B538" s="28"/>
      <c r="C538" s="24" t="str">
        <f aca="false">IF(B538="","",DATE(YEAR(B538),MONTH(B538),1))</f>
        <v/>
      </c>
      <c r="N538" s="26" t="str">
        <f aca="false">IF(L538="","",L538*M538)</f>
        <v/>
      </c>
      <c r="P538" s="26" t="str">
        <f aca="false">IF(L538="","",N538-L538*O538)</f>
        <v/>
      </c>
      <c r="T538" s="22" t="str">
        <f aca="false">IF(R538="","",IF(R538&lt;=Q538,"Yes","No"))</f>
        <v/>
      </c>
      <c r="U538" s="22" t="str">
        <f aca="false">IF(B538="","",TEXT(YEAR(B538),"0"))</f>
        <v/>
      </c>
    </row>
    <row r="539" customFormat="false" ht="15" hidden="false" customHeight="false" outlineLevel="0" collapsed="false">
      <c r="B539" s="28"/>
      <c r="C539" s="24" t="str">
        <f aca="false">IF(B539="","",DATE(YEAR(B539),MONTH(B539),1))</f>
        <v/>
      </c>
      <c r="N539" s="26" t="str">
        <f aca="false">IF(L539="","",L539*M539)</f>
        <v/>
      </c>
      <c r="P539" s="26" t="str">
        <f aca="false">IF(L539="","",N539-L539*O539)</f>
        <v/>
      </c>
      <c r="T539" s="22" t="str">
        <f aca="false">IF(R539="","",IF(R539&lt;=Q539,"Yes","No"))</f>
        <v/>
      </c>
      <c r="U539" s="22" t="str">
        <f aca="false">IF(B539="","",TEXT(YEAR(B539),"0"))</f>
        <v/>
      </c>
    </row>
    <row r="540" customFormat="false" ht="15" hidden="false" customHeight="false" outlineLevel="0" collapsed="false">
      <c r="B540" s="28"/>
      <c r="C540" s="24" t="str">
        <f aca="false">IF(B540="","",DATE(YEAR(B540),MONTH(B540),1))</f>
        <v/>
      </c>
      <c r="N540" s="26" t="str">
        <f aca="false">IF(L540="","",L540*M540)</f>
        <v/>
      </c>
      <c r="P540" s="26" t="str">
        <f aca="false">IF(L540="","",N540-L540*O540)</f>
        <v/>
      </c>
      <c r="T540" s="22" t="str">
        <f aca="false">IF(R540="","",IF(R540&lt;=Q540,"Yes","No"))</f>
        <v/>
      </c>
      <c r="U540" s="22" t="str">
        <f aca="false">IF(B540="","",TEXT(YEAR(B540),"0"))</f>
        <v/>
      </c>
    </row>
    <row r="541" customFormat="false" ht="15" hidden="false" customHeight="false" outlineLevel="0" collapsed="false">
      <c r="B541" s="28"/>
      <c r="C541" s="24" t="str">
        <f aca="false">IF(B541="","",DATE(YEAR(B541),MONTH(B541),1))</f>
        <v/>
      </c>
      <c r="N541" s="26" t="str">
        <f aca="false">IF(L541="","",L541*M541)</f>
        <v/>
      </c>
      <c r="P541" s="26" t="str">
        <f aca="false">IF(L541="","",N541-L541*O541)</f>
        <v/>
      </c>
      <c r="T541" s="22" t="str">
        <f aca="false">IF(R541="","",IF(R541&lt;=Q541,"Yes","No"))</f>
        <v/>
      </c>
      <c r="U541" s="22" t="str">
        <f aca="false">IF(B541="","",TEXT(YEAR(B541),"0"))</f>
        <v/>
      </c>
    </row>
    <row r="542" customFormat="false" ht="15" hidden="false" customHeight="false" outlineLevel="0" collapsed="false">
      <c r="B542" s="28"/>
      <c r="C542" s="24" t="str">
        <f aca="false">IF(B542="","",DATE(YEAR(B542),MONTH(B542),1))</f>
        <v/>
      </c>
      <c r="N542" s="26" t="str">
        <f aca="false">IF(L542="","",L542*M542)</f>
        <v/>
      </c>
      <c r="P542" s="26" t="str">
        <f aca="false">IF(L542="","",N542-L542*O542)</f>
        <v/>
      </c>
      <c r="T542" s="22" t="str">
        <f aca="false">IF(R542="","",IF(R542&lt;=Q542,"Yes","No"))</f>
        <v/>
      </c>
      <c r="U542" s="22" t="str">
        <f aca="false">IF(B542="","",TEXT(YEAR(B542),"0"))</f>
        <v/>
      </c>
    </row>
    <row r="543" customFormat="false" ht="15" hidden="false" customHeight="false" outlineLevel="0" collapsed="false">
      <c r="B543" s="28"/>
      <c r="C543" s="24" t="str">
        <f aca="false">IF(B543="","",DATE(YEAR(B543),MONTH(B543),1))</f>
        <v/>
      </c>
      <c r="N543" s="26" t="str">
        <f aca="false">IF(L543="","",L543*M543)</f>
        <v/>
      </c>
      <c r="P543" s="26" t="str">
        <f aca="false">IF(L543="","",N543-L543*O543)</f>
        <v/>
      </c>
      <c r="T543" s="22" t="str">
        <f aca="false">IF(R543="","",IF(R543&lt;=Q543,"Yes","No"))</f>
        <v/>
      </c>
      <c r="U543" s="22" t="str">
        <f aca="false">IF(B543="","",TEXT(YEAR(B543),"0"))</f>
        <v/>
      </c>
    </row>
    <row r="544" customFormat="false" ht="15" hidden="false" customHeight="false" outlineLevel="0" collapsed="false">
      <c r="B544" s="28"/>
      <c r="C544" s="24" t="str">
        <f aca="false">IF(B544="","",DATE(YEAR(B544),MONTH(B544),1))</f>
        <v/>
      </c>
      <c r="N544" s="26" t="str">
        <f aca="false">IF(L544="","",L544*M544)</f>
        <v/>
      </c>
      <c r="P544" s="26" t="str">
        <f aca="false">IF(L544="","",N544-L544*O544)</f>
        <v/>
      </c>
      <c r="T544" s="22" t="str">
        <f aca="false">IF(R544="","",IF(R544&lt;=Q544,"Yes","No"))</f>
        <v/>
      </c>
      <c r="U544" s="22" t="str">
        <f aca="false">IF(B544="","",TEXT(YEAR(B544),"0"))</f>
        <v/>
      </c>
    </row>
    <row r="545" customFormat="false" ht="15" hidden="false" customHeight="false" outlineLevel="0" collapsed="false">
      <c r="B545" s="28"/>
      <c r="C545" s="24" t="str">
        <f aca="false">IF(B545="","",DATE(YEAR(B545),MONTH(B545),1))</f>
        <v/>
      </c>
      <c r="N545" s="26" t="str">
        <f aca="false">IF(L545="","",L545*M545)</f>
        <v/>
      </c>
      <c r="P545" s="26" t="str">
        <f aca="false">IF(L545="","",N545-L545*O545)</f>
        <v/>
      </c>
      <c r="T545" s="22" t="str">
        <f aca="false">IF(R545="","",IF(R545&lt;=Q545,"Yes","No"))</f>
        <v/>
      </c>
      <c r="U545" s="22" t="str">
        <f aca="false">IF(B545="","",TEXT(YEAR(B545),"0"))</f>
        <v/>
      </c>
    </row>
    <row r="546" customFormat="false" ht="15" hidden="false" customHeight="false" outlineLevel="0" collapsed="false">
      <c r="B546" s="28"/>
      <c r="C546" s="24" t="str">
        <f aca="false">IF(B546="","",DATE(YEAR(B546),MONTH(B546),1))</f>
        <v/>
      </c>
      <c r="N546" s="26" t="str">
        <f aca="false">IF(L546="","",L546*M546)</f>
        <v/>
      </c>
      <c r="P546" s="26" t="str">
        <f aca="false">IF(L546="","",N546-L546*O546)</f>
        <v/>
      </c>
      <c r="T546" s="22" t="str">
        <f aca="false">IF(R546="","",IF(R546&lt;=Q546,"Yes","No"))</f>
        <v/>
      </c>
      <c r="U546" s="22" t="str">
        <f aca="false">IF(B546="","",TEXT(YEAR(B546),"0"))</f>
        <v/>
      </c>
    </row>
    <row r="547" customFormat="false" ht="15" hidden="false" customHeight="false" outlineLevel="0" collapsed="false">
      <c r="B547" s="28"/>
      <c r="C547" s="24" t="str">
        <f aca="false">IF(B547="","",DATE(YEAR(B547),MONTH(B547),1))</f>
        <v/>
      </c>
      <c r="N547" s="26" t="str">
        <f aca="false">IF(L547="","",L547*M547)</f>
        <v/>
      </c>
      <c r="P547" s="26" t="str">
        <f aca="false">IF(L547="","",N547-L547*O547)</f>
        <v/>
      </c>
      <c r="T547" s="22" t="str">
        <f aca="false">IF(R547="","",IF(R547&lt;=Q547,"Yes","No"))</f>
        <v/>
      </c>
      <c r="U547" s="22" t="str">
        <f aca="false">IF(B547="","",TEXT(YEAR(B547),"0"))</f>
        <v/>
      </c>
    </row>
    <row r="548" customFormat="false" ht="15" hidden="false" customHeight="false" outlineLevel="0" collapsed="false">
      <c r="B548" s="28"/>
      <c r="C548" s="24" t="str">
        <f aca="false">IF(B548="","",DATE(YEAR(B548),MONTH(B548),1))</f>
        <v/>
      </c>
      <c r="N548" s="26" t="str">
        <f aca="false">IF(L548="","",L548*M548)</f>
        <v/>
      </c>
      <c r="P548" s="26" t="str">
        <f aca="false">IF(L548="","",N548-L548*O548)</f>
        <v/>
      </c>
      <c r="T548" s="22" t="str">
        <f aca="false">IF(R548="","",IF(R548&lt;=Q548,"Yes","No"))</f>
        <v/>
      </c>
      <c r="U548" s="22" t="str">
        <f aca="false">IF(B548="","",TEXT(YEAR(B548),"0"))</f>
        <v/>
      </c>
    </row>
    <row r="549" customFormat="false" ht="15" hidden="false" customHeight="false" outlineLevel="0" collapsed="false">
      <c r="B549" s="28"/>
      <c r="C549" s="24" t="str">
        <f aca="false">IF(B549="","",DATE(YEAR(B549),MONTH(B549),1))</f>
        <v/>
      </c>
      <c r="N549" s="26" t="str">
        <f aca="false">IF(L549="","",L549*M549)</f>
        <v/>
      </c>
      <c r="P549" s="26" t="str">
        <f aca="false">IF(L549="","",N549-L549*O549)</f>
        <v/>
      </c>
      <c r="T549" s="22" t="str">
        <f aca="false">IF(R549="","",IF(R549&lt;=Q549,"Yes","No"))</f>
        <v/>
      </c>
      <c r="U549" s="22" t="str">
        <f aca="false">IF(B549="","",TEXT(YEAR(B549),"0"))</f>
        <v/>
      </c>
    </row>
    <row r="550" customFormat="false" ht="15" hidden="false" customHeight="false" outlineLevel="0" collapsed="false">
      <c r="B550" s="28"/>
      <c r="C550" s="24" t="str">
        <f aca="false">IF(B550="","",DATE(YEAR(B550),MONTH(B550),1))</f>
        <v/>
      </c>
      <c r="N550" s="26" t="str">
        <f aca="false">IF(L550="","",L550*M550)</f>
        <v/>
      </c>
      <c r="P550" s="26" t="str">
        <f aca="false">IF(L550="","",N550-L550*O550)</f>
        <v/>
      </c>
      <c r="T550" s="22" t="str">
        <f aca="false">IF(R550="","",IF(R550&lt;=Q550,"Yes","No"))</f>
        <v/>
      </c>
      <c r="U550" s="22" t="str">
        <f aca="false">IF(B550="","",TEXT(YEAR(B550),"0"))</f>
        <v/>
      </c>
    </row>
    <row r="551" customFormat="false" ht="15" hidden="false" customHeight="false" outlineLevel="0" collapsed="false">
      <c r="B551" s="28"/>
      <c r="C551" s="24" t="str">
        <f aca="false">IF(B551="","",DATE(YEAR(B551),MONTH(B551),1))</f>
        <v/>
      </c>
      <c r="N551" s="26" t="str">
        <f aca="false">IF(L551="","",L551*M551)</f>
        <v/>
      </c>
      <c r="P551" s="26" t="str">
        <f aca="false">IF(L551="","",N551-L551*O551)</f>
        <v/>
      </c>
      <c r="T551" s="22" t="str">
        <f aca="false">IF(R551="","",IF(R551&lt;=Q551,"Yes","No"))</f>
        <v/>
      </c>
      <c r="U551" s="22" t="str">
        <f aca="false">IF(B551="","",TEXT(YEAR(B551),"0"))</f>
        <v/>
      </c>
    </row>
    <row r="552" customFormat="false" ht="15" hidden="false" customHeight="false" outlineLevel="0" collapsed="false">
      <c r="B552" s="28"/>
      <c r="C552" s="24" t="str">
        <f aca="false">IF(B552="","",DATE(YEAR(B552),MONTH(B552),1))</f>
        <v/>
      </c>
      <c r="N552" s="26" t="str">
        <f aca="false">IF(L552="","",L552*M552)</f>
        <v/>
      </c>
      <c r="P552" s="26" t="str">
        <f aca="false">IF(L552="","",N552-L552*O552)</f>
        <v/>
      </c>
      <c r="T552" s="22" t="str">
        <f aca="false">IF(R552="","",IF(R552&lt;=Q552,"Yes","No"))</f>
        <v/>
      </c>
      <c r="U552" s="22" t="str">
        <f aca="false">IF(B552="","",TEXT(YEAR(B552),"0"))</f>
        <v/>
      </c>
    </row>
    <row r="553" customFormat="false" ht="15" hidden="false" customHeight="false" outlineLevel="0" collapsed="false">
      <c r="B553" s="28"/>
      <c r="C553" s="24" t="str">
        <f aca="false">IF(B553="","",DATE(YEAR(B553),MONTH(B553),1))</f>
        <v/>
      </c>
      <c r="N553" s="26" t="str">
        <f aca="false">IF(L553="","",L553*M553)</f>
        <v/>
      </c>
      <c r="P553" s="26" t="str">
        <f aca="false">IF(L553="","",N553-L553*O553)</f>
        <v/>
      </c>
      <c r="T553" s="22" t="str">
        <f aca="false">IF(R553="","",IF(R553&lt;=Q553,"Yes","No"))</f>
        <v/>
      </c>
      <c r="U553" s="22" t="str">
        <f aca="false">IF(B553="","",TEXT(YEAR(B553),"0"))</f>
        <v/>
      </c>
    </row>
    <row r="554" customFormat="false" ht="15" hidden="false" customHeight="false" outlineLevel="0" collapsed="false">
      <c r="B554" s="28"/>
      <c r="C554" s="24" t="str">
        <f aca="false">IF(B554="","",DATE(YEAR(B554),MONTH(B554),1))</f>
        <v/>
      </c>
      <c r="N554" s="26" t="str">
        <f aca="false">IF(L554="","",L554*M554)</f>
        <v/>
      </c>
      <c r="P554" s="26" t="str">
        <f aca="false">IF(L554="","",N554-L554*O554)</f>
        <v/>
      </c>
      <c r="T554" s="22" t="str">
        <f aca="false">IF(R554="","",IF(R554&lt;=Q554,"Yes","No"))</f>
        <v/>
      </c>
      <c r="U554" s="22" t="str">
        <f aca="false">IF(B554="","",TEXT(YEAR(B554),"0"))</f>
        <v/>
      </c>
    </row>
    <row r="555" customFormat="false" ht="15" hidden="false" customHeight="false" outlineLevel="0" collapsed="false">
      <c r="B555" s="28"/>
      <c r="C555" s="24" t="str">
        <f aca="false">IF(B555="","",DATE(YEAR(B555),MONTH(B555),1))</f>
        <v/>
      </c>
      <c r="N555" s="26" t="str">
        <f aca="false">IF(L555="","",L555*M555)</f>
        <v/>
      </c>
      <c r="P555" s="26" t="str">
        <f aca="false">IF(L555="","",N555-L555*O555)</f>
        <v/>
      </c>
      <c r="T555" s="22" t="str">
        <f aca="false">IF(R555="","",IF(R555&lt;=Q555,"Yes","No"))</f>
        <v/>
      </c>
      <c r="U555" s="22" t="str">
        <f aca="false">IF(B555="","",TEXT(YEAR(B555),"0"))</f>
        <v/>
      </c>
    </row>
    <row r="556" customFormat="false" ht="15" hidden="false" customHeight="false" outlineLevel="0" collapsed="false">
      <c r="B556" s="28"/>
      <c r="C556" s="24" t="str">
        <f aca="false">IF(B556="","",DATE(YEAR(B556),MONTH(B556),1))</f>
        <v/>
      </c>
      <c r="N556" s="26" t="str">
        <f aca="false">IF(L556="","",L556*M556)</f>
        <v/>
      </c>
      <c r="P556" s="26" t="str">
        <f aca="false">IF(L556="","",N556-L556*O556)</f>
        <v/>
      </c>
      <c r="T556" s="22" t="str">
        <f aca="false">IF(R556="","",IF(R556&lt;=Q556,"Yes","No"))</f>
        <v/>
      </c>
      <c r="U556" s="22" t="str">
        <f aca="false">IF(B556="","",TEXT(YEAR(B556),"0"))</f>
        <v/>
      </c>
    </row>
    <row r="557" customFormat="false" ht="15" hidden="false" customHeight="false" outlineLevel="0" collapsed="false">
      <c r="B557" s="28"/>
      <c r="C557" s="24" t="str">
        <f aca="false">IF(B557="","",DATE(YEAR(B557),MONTH(B557),1))</f>
        <v/>
      </c>
      <c r="N557" s="26" t="str">
        <f aca="false">IF(L557="","",L557*M557)</f>
        <v/>
      </c>
      <c r="P557" s="26" t="str">
        <f aca="false">IF(L557="","",N557-L557*O557)</f>
        <v/>
      </c>
      <c r="T557" s="22" t="str">
        <f aca="false">IF(R557="","",IF(R557&lt;=Q557,"Yes","No"))</f>
        <v/>
      </c>
      <c r="U557" s="22" t="str">
        <f aca="false">IF(B557="","",TEXT(YEAR(B557),"0"))</f>
        <v/>
      </c>
    </row>
    <row r="558" customFormat="false" ht="15" hidden="false" customHeight="false" outlineLevel="0" collapsed="false">
      <c r="B558" s="28"/>
      <c r="C558" s="24" t="str">
        <f aca="false">IF(B558="","",DATE(YEAR(B558),MONTH(B558),1))</f>
        <v/>
      </c>
      <c r="N558" s="26" t="str">
        <f aca="false">IF(L558="","",L558*M558)</f>
        <v/>
      </c>
      <c r="P558" s="26" t="str">
        <f aca="false">IF(L558="","",N558-L558*O558)</f>
        <v/>
      </c>
      <c r="T558" s="22" t="str">
        <f aca="false">IF(R558="","",IF(R558&lt;=Q558,"Yes","No"))</f>
        <v/>
      </c>
      <c r="U558" s="22" t="str">
        <f aca="false">IF(B558="","",TEXT(YEAR(B558),"0"))</f>
        <v/>
      </c>
    </row>
    <row r="559" customFormat="false" ht="15" hidden="false" customHeight="false" outlineLevel="0" collapsed="false">
      <c r="B559" s="28"/>
      <c r="C559" s="24" t="str">
        <f aca="false">IF(B559="","",DATE(YEAR(B559),MONTH(B559),1))</f>
        <v/>
      </c>
      <c r="N559" s="26" t="str">
        <f aca="false">IF(L559="","",L559*M559)</f>
        <v/>
      </c>
      <c r="P559" s="26" t="str">
        <f aca="false">IF(L559="","",N559-L559*O559)</f>
        <v/>
      </c>
      <c r="T559" s="22" t="str">
        <f aca="false">IF(R559="","",IF(R559&lt;=Q559,"Yes","No"))</f>
        <v/>
      </c>
      <c r="U559" s="22" t="str">
        <f aca="false">IF(B559="","",TEXT(YEAR(B559),"0"))</f>
        <v/>
      </c>
    </row>
    <row r="560" customFormat="false" ht="15" hidden="false" customHeight="false" outlineLevel="0" collapsed="false">
      <c r="B560" s="28"/>
      <c r="C560" s="24" t="str">
        <f aca="false">IF(B560="","",DATE(YEAR(B560),MONTH(B560),1))</f>
        <v/>
      </c>
      <c r="N560" s="26" t="str">
        <f aca="false">IF(L560="","",L560*M560)</f>
        <v/>
      </c>
      <c r="P560" s="26" t="str">
        <f aca="false">IF(L560="","",N560-L560*O560)</f>
        <v/>
      </c>
      <c r="T560" s="22" t="str">
        <f aca="false">IF(R560="","",IF(R560&lt;=Q560,"Yes","No"))</f>
        <v/>
      </c>
      <c r="U560" s="22" t="str">
        <f aca="false">IF(B560="","",TEXT(YEAR(B560),"0"))</f>
        <v/>
      </c>
    </row>
    <row r="561" customFormat="false" ht="15" hidden="false" customHeight="false" outlineLevel="0" collapsed="false">
      <c r="B561" s="28"/>
      <c r="C561" s="24" t="str">
        <f aca="false">IF(B561="","",DATE(YEAR(B561),MONTH(B561),1))</f>
        <v/>
      </c>
      <c r="N561" s="26" t="str">
        <f aca="false">IF(L561="","",L561*M561)</f>
        <v/>
      </c>
      <c r="P561" s="26" t="str">
        <f aca="false">IF(L561="","",N561-L561*O561)</f>
        <v/>
      </c>
      <c r="T561" s="22" t="str">
        <f aca="false">IF(R561="","",IF(R561&lt;=Q561,"Yes","No"))</f>
        <v/>
      </c>
      <c r="U561" s="22" t="str">
        <f aca="false">IF(B561="","",TEXT(YEAR(B561),"0"))</f>
        <v/>
      </c>
    </row>
    <row r="562" customFormat="false" ht="15" hidden="false" customHeight="false" outlineLevel="0" collapsed="false">
      <c r="B562" s="28"/>
      <c r="C562" s="24" t="str">
        <f aca="false">IF(B562="","",DATE(YEAR(B562),MONTH(B562),1))</f>
        <v/>
      </c>
      <c r="N562" s="26" t="str">
        <f aca="false">IF(L562="","",L562*M562)</f>
        <v/>
      </c>
      <c r="P562" s="26" t="str">
        <f aca="false">IF(L562="","",N562-L562*O562)</f>
        <v/>
      </c>
      <c r="T562" s="22" t="str">
        <f aca="false">IF(R562="","",IF(R562&lt;=Q562,"Yes","No"))</f>
        <v/>
      </c>
      <c r="U562" s="22" t="str">
        <f aca="false">IF(B562="","",TEXT(YEAR(B562),"0"))</f>
        <v/>
      </c>
    </row>
    <row r="563" customFormat="false" ht="15" hidden="false" customHeight="false" outlineLevel="0" collapsed="false">
      <c r="B563" s="28"/>
      <c r="C563" s="24" t="str">
        <f aca="false">IF(B563="","",DATE(YEAR(B563),MONTH(B563),1))</f>
        <v/>
      </c>
      <c r="N563" s="26" t="str">
        <f aca="false">IF(L563="","",L563*M563)</f>
        <v/>
      </c>
      <c r="P563" s="26" t="str">
        <f aca="false">IF(L563="","",N563-L563*O563)</f>
        <v/>
      </c>
      <c r="T563" s="22" t="str">
        <f aca="false">IF(R563="","",IF(R563&lt;=Q563,"Yes","No"))</f>
        <v/>
      </c>
      <c r="U563" s="22" t="str">
        <f aca="false">IF(B563="","",TEXT(YEAR(B563),"0"))</f>
        <v/>
      </c>
    </row>
    <row r="564" customFormat="false" ht="15" hidden="false" customHeight="false" outlineLevel="0" collapsed="false">
      <c r="B564" s="28"/>
      <c r="C564" s="24" t="str">
        <f aca="false">IF(B564="","",DATE(YEAR(B564),MONTH(B564),1))</f>
        <v/>
      </c>
      <c r="N564" s="26" t="str">
        <f aca="false">IF(L564="","",L564*M564)</f>
        <v/>
      </c>
      <c r="P564" s="26" t="str">
        <f aca="false">IF(L564="","",N564-L564*O564)</f>
        <v/>
      </c>
      <c r="T564" s="22" t="str">
        <f aca="false">IF(R564="","",IF(R564&lt;=Q564,"Yes","No"))</f>
        <v/>
      </c>
      <c r="U564" s="22" t="str">
        <f aca="false">IF(B564="","",TEXT(YEAR(B564),"0"))</f>
        <v/>
      </c>
    </row>
    <row r="565" customFormat="false" ht="15" hidden="false" customHeight="false" outlineLevel="0" collapsed="false">
      <c r="B565" s="28"/>
      <c r="C565" s="24" t="str">
        <f aca="false">IF(B565="","",DATE(YEAR(B565),MONTH(B565),1))</f>
        <v/>
      </c>
      <c r="N565" s="26" t="str">
        <f aca="false">IF(L565="","",L565*M565)</f>
        <v/>
      </c>
      <c r="P565" s="26" t="str">
        <f aca="false">IF(L565="","",N565-L565*O565)</f>
        <v/>
      </c>
      <c r="T565" s="22" t="str">
        <f aca="false">IF(R565="","",IF(R565&lt;=Q565,"Yes","No"))</f>
        <v/>
      </c>
      <c r="U565" s="22" t="str">
        <f aca="false">IF(B565="","",TEXT(YEAR(B565),"0"))</f>
        <v/>
      </c>
    </row>
    <row r="566" customFormat="false" ht="15" hidden="false" customHeight="false" outlineLevel="0" collapsed="false">
      <c r="B566" s="28"/>
      <c r="C566" s="24" t="str">
        <f aca="false">IF(B566="","",DATE(YEAR(B566),MONTH(B566),1))</f>
        <v/>
      </c>
      <c r="N566" s="26" t="str">
        <f aca="false">IF(L566="","",L566*M566)</f>
        <v/>
      </c>
      <c r="P566" s="26" t="str">
        <f aca="false">IF(L566="","",N566-L566*O566)</f>
        <v/>
      </c>
      <c r="T566" s="22" t="str">
        <f aca="false">IF(R566="","",IF(R566&lt;=Q566,"Yes","No"))</f>
        <v/>
      </c>
      <c r="U566" s="22" t="str">
        <f aca="false">IF(B566="","",TEXT(YEAR(B566),"0"))</f>
        <v/>
      </c>
    </row>
    <row r="567" customFormat="false" ht="15" hidden="false" customHeight="false" outlineLevel="0" collapsed="false">
      <c r="B567" s="28"/>
      <c r="C567" s="24" t="str">
        <f aca="false">IF(B567="","",DATE(YEAR(B567),MONTH(B567),1))</f>
        <v/>
      </c>
      <c r="N567" s="26" t="str">
        <f aca="false">IF(L567="","",L567*M567)</f>
        <v/>
      </c>
      <c r="P567" s="26" t="str">
        <f aca="false">IF(L567="","",N567-L567*O567)</f>
        <v/>
      </c>
      <c r="T567" s="22" t="str">
        <f aca="false">IF(R567="","",IF(R567&lt;=Q567,"Yes","No"))</f>
        <v/>
      </c>
      <c r="U567" s="22" t="str">
        <f aca="false">IF(B567="","",TEXT(YEAR(B567),"0"))</f>
        <v/>
      </c>
    </row>
    <row r="568" customFormat="false" ht="15" hidden="false" customHeight="false" outlineLevel="0" collapsed="false">
      <c r="B568" s="28"/>
      <c r="C568" s="24" t="str">
        <f aca="false">IF(B568="","",DATE(YEAR(B568),MONTH(B568),1))</f>
        <v/>
      </c>
      <c r="N568" s="26" t="str">
        <f aca="false">IF(L568="","",L568*M568)</f>
        <v/>
      </c>
      <c r="P568" s="26" t="str">
        <f aca="false">IF(L568="","",N568-L568*O568)</f>
        <v/>
      </c>
      <c r="T568" s="22" t="str">
        <f aca="false">IF(R568="","",IF(R568&lt;=Q568,"Yes","No"))</f>
        <v/>
      </c>
      <c r="U568" s="22" t="str">
        <f aca="false">IF(B568="","",TEXT(YEAR(B568),"0"))</f>
        <v/>
      </c>
    </row>
    <row r="569" customFormat="false" ht="15" hidden="false" customHeight="false" outlineLevel="0" collapsed="false">
      <c r="B569" s="28"/>
      <c r="C569" s="24" t="str">
        <f aca="false">IF(B569="","",DATE(YEAR(B569),MONTH(B569),1))</f>
        <v/>
      </c>
      <c r="N569" s="26" t="str">
        <f aca="false">IF(L569="","",L569*M569)</f>
        <v/>
      </c>
      <c r="P569" s="26" t="str">
        <f aca="false">IF(L569="","",N569-L569*O569)</f>
        <v/>
      </c>
      <c r="T569" s="22" t="str">
        <f aca="false">IF(R569="","",IF(R569&lt;=Q569,"Yes","No"))</f>
        <v/>
      </c>
      <c r="U569" s="22" t="str">
        <f aca="false">IF(B569="","",TEXT(YEAR(B569),"0"))</f>
        <v/>
      </c>
    </row>
    <row r="570" customFormat="false" ht="15" hidden="false" customHeight="false" outlineLevel="0" collapsed="false">
      <c r="B570" s="28"/>
      <c r="C570" s="24" t="str">
        <f aca="false">IF(B570="","",DATE(YEAR(B570),MONTH(B570),1))</f>
        <v/>
      </c>
      <c r="N570" s="26" t="str">
        <f aca="false">IF(L570="","",L570*M570)</f>
        <v/>
      </c>
      <c r="P570" s="26" t="str">
        <f aca="false">IF(L570="","",N570-L570*O570)</f>
        <v/>
      </c>
      <c r="T570" s="22" t="str">
        <f aca="false">IF(R570="","",IF(R570&lt;=Q570,"Yes","No"))</f>
        <v/>
      </c>
      <c r="U570" s="22" t="str">
        <f aca="false">IF(B570="","",TEXT(YEAR(B570),"0"))</f>
        <v/>
      </c>
    </row>
    <row r="571" customFormat="false" ht="15" hidden="false" customHeight="false" outlineLevel="0" collapsed="false">
      <c r="B571" s="28"/>
      <c r="C571" s="24" t="str">
        <f aca="false">IF(B571="","",DATE(YEAR(B571),MONTH(B571),1))</f>
        <v/>
      </c>
      <c r="N571" s="26" t="str">
        <f aca="false">IF(L571="","",L571*M571)</f>
        <v/>
      </c>
      <c r="P571" s="26" t="str">
        <f aca="false">IF(L571="","",N571-L571*O571)</f>
        <v/>
      </c>
      <c r="T571" s="22" t="str">
        <f aca="false">IF(R571="","",IF(R571&lt;=Q571,"Yes","No"))</f>
        <v/>
      </c>
      <c r="U571" s="22" t="str">
        <f aca="false">IF(B571="","",TEXT(YEAR(B571),"0"))</f>
        <v/>
      </c>
    </row>
    <row r="572" customFormat="false" ht="15" hidden="false" customHeight="false" outlineLevel="0" collapsed="false">
      <c r="B572" s="28"/>
      <c r="C572" s="24" t="str">
        <f aca="false">IF(B572="","",DATE(YEAR(B572),MONTH(B572),1))</f>
        <v/>
      </c>
      <c r="N572" s="26" t="str">
        <f aca="false">IF(L572="","",L572*M572)</f>
        <v/>
      </c>
      <c r="P572" s="26" t="str">
        <f aca="false">IF(L572="","",N572-L572*O572)</f>
        <v/>
      </c>
      <c r="T572" s="22" t="str">
        <f aca="false">IF(R572="","",IF(R572&lt;=Q572,"Yes","No"))</f>
        <v/>
      </c>
      <c r="U572" s="22" t="str">
        <f aca="false">IF(B572="","",TEXT(YEAR(B572),"0"))</f>
        <v/>
      </c>
    </row>
    <row r="573" customFormat="false" ht="15" hidden="false" customHeight="false" outlineLevel="0" collapsed="false">
      <c r="B573" s="28"/>
      <c r="C573" s="24" t="str">
        <f aca="false">IF(B573="","",DATE(YEAR(B573),MONTH(B573),1))</f>
        <v/>
      </c>
      <c r="N573" s="26" t="str">
        <f aca="false">IF(L573="","",L573*M573)</f>
        <v/>
      </c>
      <c r="P573" s="26" t="str">
        <f aca="false">IF(L573="","",N573-L573*O573)</f>
        <v/>
      </c>
      <c r="T573" s="22" t="str">
        <f aca="false">IF(R573="","",IF(R573&lt;=Q573,"Yes","No"))</f>
        <v/>
      </c>
      <c r="U573" s="22" t="str">
        <f aca="false">IF(B573="","",TEXT(YEAR(B573),"0"))</f>
        <v/>
      </c>
    </row>
    <row r="574" customFormat="false" ht="15" hidden="false" customHeight="false" outlineLevel="0" collapsed="false">
      <c r="B574" s="28"/>
      <c r="C574" s="24" t="str">
        <f aca="false">IF(B574="","",DATE(YEAR(B574),MONTH(B574),1))</f>
        <v/>
      </c>
      <c r="N574" s="26" t="str">
        <f aca="false">IF(L574="","",L574*M574)</f>
        <v/>
      </c>
      <c r="P574" s="26" t="str">
        <f aca="false">IF(L574="","",N574-L574*O574)</f>
        <v/>
      </c>
      <c r="T574" s="22" t="str">
        <f aca="false">IF(R574="","",IF(R574&lt;=Q574,"Yes","No"))</f>
        <v/>
      </c>
      <c r="U574" s="22" t="str">
        <f aca="false">IF(B574="","",TEXT(YEAR(B574),"0"))</f>
        <v/>
      </c>
    </row>
    <row r="575" customFormat="false" ht="15" hidden="false" customHeight="false" outlineLevel="0" collapsed="false">
      <c r="B575" s="28"/>
      <c r="C575" s="24" t="str">
        <f aca="false">IF(B575="","",DATE(YEAR(B575),MONTH(B575),1))</f>
        <v/>
      </c>
      <c r="N575" s="26" t="str">
        <f aca="false">IF(L575="","",L575*M575)</f>
        <v/>
      </c>
      <c r="P575" s="26" t="str">
        <f aca="false">IF(L575="","",N575-L575*O575)</f>
        <v/>
      </c>
      <c r="T575" s="22" t="str">
        <f aca="false">IF(R575="","",IF(R575&lt;=Q575,"Yes","No"))</f>
        <v/>
      </c>
      <c r="U575" s="22" t="str">
        <f aca="false">IF(B575="","",TEXT(YEAR(B575),"0"))</f>
        <v/>
      </c>
    </row>
    <row r="576" customFormat="false" ht="15" hidden="false" customHeight="false" outlineLevel="0" collapsed="false">
      <c r="B576" s="28"/>
      <c r="C576" s="24" t="str">
        <f aca="false">IF(B576="","",DATE(YEAR(B576),MONTH(B576),1))</f>
        <v/>
      </c>
      <c r="N576" s="26" t="str">
        <f aca="false">IF(L576="","",L576*M576)</f>
        <v/>
      </c>
      <c r="P576" s="26" t="str">
        <f aca="false">IF(L576="","",N576-L576*O576)</f>
        <v/>
      </c>
      <c r="T576" s="22" t="str">
        <f aca="false">IF(R576="","",IF(R576&lt;=Q576,"Yes","No"))</f>
        <v/>
      </c>
      <c r="U576" s="22" t="str">
        <f aca="false">IF(B576="","",TEXT(YEAR(B576),"0"))</f>
        <v/>
      </c>
    </row>
    <row r="577" customFormat="false" ht="15" hidden="false" customHeight="false" outlineLevel="0" collapsed="false">
      <c r="B577" s="28"/>
      <c r="C577" s="24" t="str">
        <f aca="false">IF(B577="","",DATE(YEAR(B577),MONTH(B577),1))</f>
        <v/>
      </c>
      <c r="N577" s="26" t="str">
        <f aca="false">IF(L577="","",L577*M577)</f>
        <v/>
      </c>
      <c r="P577" s="26" t="str">
        <f aca="false">IF(L577="","",N577-L577*O577)</f>
        <v/>
      </c>
      <c r="T577" s="22" t="str">
        <f aca="false">IF(R577="","",IF(R577&lt;=Q577,"Yes","No"))</f>
        <v/>
      </c>
      <c r="U577" s="22" t="str">
        <f aca="false">IF(B577="","",TEXT(YEAR(B577),"0"))</f>
        <v/>
      </c>
    </row>
    <row r="578" customFormat="false" ht="15" hidden="false" customHeight="false" outlineLevel="0" collapsed="false">
      <c r="B578" s="28"/>
      <c r="C578" s="24" t="str">
        <f aca="false">IF(B578="","",DATE(YEAR(B578),MONTH(B578),1))</f>
        <v/>
      </c>
      <c r="N578" s="26" t="str">
        <f aca="false">IF(L578="","",L578*M578)</f>
        <v/>
      </c>
      <c r="P578" s="26" t="str">
        <f aca="false">IF(L578="","",N578-L578*O578)</f>
        <v/>
      </c>
      <c r="T578" s="22" t="str">
        <f aca="false">IF(R578="","",IF(R578&lt;=Q578,"Yes","No"))</f>
        <v/>
      </c>
      <c r="U578" s="22" t="str">
        <f aca="false">IF(B578="","",TEXT(YEAR(B578),"0"))</f>
        <v/>
      </c>
    </row>
    <row r="579" customFormat="false" ht="15" hidden="false" customHeight="false" outlineLevel="0" collapsed="false">
      <c r="B579" s="28"/>
      <c r="C579" s="24" t="str">
        <f aca="false">IF(B579="","",DATE(YEAR(B579),MONTH(B579),1))</f>
        <v/>
      </c>
      <c r="N579" s="26" t="str">
        <f aca="false">IF(L579="","",L579*M579)</f>
        <v/>
      </c>
      <c r="P579" s="26" t="str">
        <f aca="false">IF(L579="","",N579-L579*O579)</f>
        <v/>
      </c>
      <c r="T579" s="22" t="str">
        <f aca="false">IF(R579="","",IF(R579&lt;=Q579,"Yes","No"))</f>
        <v/>
      </c>
      <c r="U579" s="22" t="str">
        <f aca="false">IF(B579="","",TEXT(YEAR(B579),"0"))</f>
        <v/>
      </c>
    </row>
    <row r="580" customFormat="false" ht="15" hidden="false" customHeight="false" outlineLevel="0" collapsed="false">
      <c r="B580" s="28"/>
      <c r="C580" s="24" t="str">
        <f aca="false">IF(B580="","",DATE(YEAR(B580),MONTH(B580),1))</f>
        <v/>
      </c>
      <c r="N580" s="26" t="str">
        <f aca="false">IF(L580="","",L580*M580)</f>
        <v/>
      </c>
      <c r="P580" s="26" t="str">
        <f aca="false">IF(L580="","",N580-L580*O580)</f>
        <v/>
      </c>
      <c r="T580" s="22" t="str">
        <f aca="false">IF(R580="","",IF(R580&lt;=Q580,"Yes","No"))</f>
        <v/>
      </c>
      <c r="U580" s="22" t="str">
        <f aca="false">IF(B580="","",TEXT(YEAR(B580),"0"))</f>
        <v/>
      </c>
    </row>
    <row r="581" customFormat="false" ht="15" hidden="false" customHeight="false" outlineLevel="0" collapsed="false">
      <c r="B581" s="28"/>
      <c r="C581" s="24" t="str">
        <f aca="false">IF(B581="","",DATE(YEAR(B581),MONTH(B581),1))</f>
        <v/>
      </c>
      <c r="N581" s="26" t="str">
        <f aca="false">IF(L581="","",L581*M581)</f>
        <v/>
      </c>
      <c r="P581" s="26" t="str">
        <f aca="false">IF(L581="","",N581-L581*O581)</f>
        <v/>
      </c>
      <c r="T581" s="22" t="str">
        <f aca="false">IF(R581="","",IF(R581&lt;=Q581,"Yes","No"))</f>
        <v/>
      </c>
      <c r="U581" s="22" t="str">
        <f aca="false">IF(B581="","",TEXT(YEAR(B581),"0"))</f>
        <v/>
      </c>
    </row>
    <row r="582" customFormat="false" ht="15" hidden="false" customHeight="false" outlineLevel="0" collapsed="false">
      <c r="B582" s="28"/>
      <c r="C582" s="24" t="str">
        <f aca="false">IF(B582="","",DATE(YEAR(B582),MONTH(B582),1))</f>
        <v/>
      </c>
      <c r="N582" s="26" t="str">
        <f aca="false">IF(L582="","",L582*M582)</f>
        <v/>
      </c>
      <c r="P582" s="26" t="str">
        <f aca="false">IF(L582="","",N582-L582*O582)</f>
        <v/>
      </c>
      <c r="T582" s="22" t="str">
        <f aca="false">IF(R582="","",IF(R582&lt;=Q582,"Yes","No"))</f>
        <v/>
      </c>
      <c r="U582" s="22" t="str">
        <f aca="false">IF(B582="","",TEXT(YEAR(B582),"0"))</f>
        <v/>
      </c>
    </row>
    <row r="583" customFormat="false" ht="15" hidden="false" customHeight="false" outlineLevel="0" collapsed="false">
      <c r="B583" s="28"/>
      <c r="C583" s="24" t="str">
        <f aca="false">IF(B583="","",DATE(YEAR(B583),MONTH(B583),1))</f>
        <v/>
      </c>
      <c r="N583" s="26" t="str">
        <f aca="false">IF(L583="","",L583*M583)</f>
        <v/>
      </c>
      <c r="P583" s="26" t="str">
        <f aca="false">IF(L583="","",N583-L583*O583)</f>
        <v/>
      </c>
      <c r="T583" s="22" t="str">
        <f aca="false">IF(R583="","",IF(R583&lt;=Q583,"Yes","No"))</f>
        <v/>
      </c>
      <c r="U583" s="22" t="str">
        <f aca="false">IF(B583="","",TEXT(YEAR(B583),"0"))</f>
        <v/>
      </c>
    </row>
    <row r="584" customFormat="false" ht="15" hidden="false" customHeight="false" outlineLevel="0" collapsed="false">
      <c r="B584" s="28"/>
      <c r="C584" s="24" t="str">
        <f aca="false">IF(B584="","",DATE(YEAR(B584),MONTH(B584),1))</f>
        <v/>
      </c>
      <c r="N584" s="26" t="str">
        <f aca="false">IF(L584="","",L584*M584)</f>
        <v/>
      </c>
      <c r="P584" s="26" t="str">
        <f aca="false">IF(L584="","",N584-L584*O584)</f>
        <v/>
      </c>
      <c r="T584" s="22" t="str">
        <f aca="false">IF(R584="","",IF(R584&lt;=Q584,"Yes","No"))</f>
        <v/>
      </c>
      <c r="U584" s="22" t="str">
        <f aca="false">IF(B584="","",TEXT(YEAR(B584),"0"))</f>
        <v/>
      </c>
    </row>
    <row r="585" customFormat="false" ht="15" hidden="false" customHeight="false" outlineLevel="0" collapsed="false">
      <c r="B585" s="28"/>
      <c r="C585" s="24" t="str">
        <f aca="false">IF(B585="","",DATE(YEAR(B585),MONTH(B585),1))</f>
        <v/>
      </c>
      <c r="N585" s="26" t="str">
        <f aca="false">IF(L585="","",L585*M585)</f>
        <v/>
      </c>
      <c r="P585" s="26" t="str">
        <f aca="false">IF(L585="","",N585-L585*O585)</f>
        <v/>
      </c>
      <c r="T585" s="22" t="str">
        <f aca="false">IF(R585="","",IF(R585&lt;=Q585,"Yes","No"))</f>
        <v/>
      </c>
      <c r="U585" s="22" t="str">
        <f aca="false">IF(B585="","",TEXT(YEAR(B585),"0"))</f>
        <v/>
      </c>
    </row>
    <row r="586" customFormat="false" ht="15" hidden="false" customHeight="false" outlineLevel="0" collapsed="false">
      <c r="B586" s="28"/>
      <c r="C586" s="24" t="str">
        <f aca="false">IF(B586="","",DATE(YEAR(B586),MONTH(B586),1))</f>
        <v/>
      </c>
      <c r="N586" s="26" t="str">
        <f aca="false">IF(L586="","",L586*M586)</f>
        <v/>
      </c>
      <c r="P586" s="26" t="str">
        <f aca="false">IF(L586="","",N586-L586*O586)</f>
        <v/>
      </c>
      <c r="T586" s="22" t="str">
        <f aca="false">IF(R586="","",IF(R586&lt;=Q586,"Yes","No"))</f>
        <v/>
      </c>
      <c r="U586" s="22" t="str">
        <f aca="false">IF(B586="","",TEXT(YEAR(B586),"0"))</f>
        <v/>
      </c>
    </row>
    <row r="587" customFormat="false" ht="15" hidden="false" customHeight="false" outlineLevel="0" collapsed="false">
      <c r="B587" s="28"/>
      <c r="C587" s="24" t="str">
        <f aca="false">IF(B587="","",DATE(YEAR(B587),MONTH(B587),1))</f>
        <v/>
      </c>
      <c r="N587" s="26" t="str">
        <f aca="false">IF(L587="","",L587*M587)</f>
        <v/>
      </c>
      <c r="P587" s="26" t="str">
        <f aca="false">IF(L587="","",N587-L587*O587)</f>
        <v/>
      </c>
      <c r="T587" s="22" t="str">
        <f aca="false">IF(R587="","",IF(R587&lt;=Q587,"Yes","No"))</f>
        <v/>
      </c>
      <c r="U587" s="22" t="str">
        <f aca="false">IF(B587="","",TEXT(YEAR(B587),"0"))</f>
        <v/>
      </c>
    </row>
    <row r="588" customFormat="false" ht="15" hidden="false" customHeight="false" outlineLevel="0" collapsed="false">
      <c r="B588" s="28"/>
      <c r="C588" s="24" t="str">
        <f aca="false">IF(B588="","",DATE(YEAR(B588),MONTH(B588),1))</f>
        <v/>
      </c>
      <c r="N588" s="26" t="str">
        <f aca="false">IF(L588="","",L588*M588)</f>
        <v/>
      </c>
      <c r="P588" s="26" t="str">
        <f aca="false">IF(L588="","",N588-L588*O588)</f>
        <v/>
      </c>
      <c r="T588" s="22" t="str">
        <f aca="false">IF(R588="","",IF(R588&lt;=Q588,"Yes","No"))</f>
        <v/>
      </c>
      <c r="U588" s="22" t="str">
        <f aca="false">IF(B588="","",TEXT(YEAR(B588),"0"))</f>
        <v/>
      </c>
    </row>
    <row r="589" customFormat="false" ht="15" hidden="false" customHeight="false" outlineLevel="0" collapsed="false">
      <c r="B589" s="28"/>
      <c r="C589" s="24" t="str">
        <f aca="false">IF(B589="","",DATE(YEAR(B589),MONTH(B589),1))</f>
        <v/>
      </c>
      <c r="N589" s="26" t="str">
        <f aca="false">IF(L589="","",L589*M589)</f>
        <v/>
      </c>
      <c r="P589" s="26" t="str">
        <f aca="false">IF(L589="","",N589-L589*O589)</f>
        <v/>
      </c>
      <c r="T589" s="22" t="str">
        <f aca="false">IF(R589="","",IF(R589&lt;=Q589,"Yes","No"))</f>
        <v/>
      </c>
      <c r="U589" s="22" t="str">
        <f aca="false">IF(B589="","",TEXT(YEAR(B589),"0"))</f>
        <v/>
      </c>
    </row>
    <row r="590" customFormat="false" ht="15" hidden="false" customHeight="false" outlineLevel="0" collapsed="false">
      <c r="B590" s="28"/>
      <c r="C590" s="24" t="str">
        <f aca="false">IF(B590="","",DATE(YEAR(B590),MONTH(B590),1))</f>
        <v/>
      </c>
      <c r="N590" s="26" t="str">
        <f aca="false">IF(L590="","",L590*M590)</f>
        <v/>
      </c>
      <c r="P590" s="26" t="str">
        <f aca="false">IF(L590="","",N590-L590*O590)</f>
        <v/>
      </c>
      <c r="T590" s="22" t="str">
        <f aca="false">IF(R590="","",IF(R590&lt;=Q590,"Yes","No"))</f>
        <v/>
      </c>
      <c r="U590" s="22" t="str">
        <f aca="false">IF(B590="","",TEXT(YEAR(B590),"0"))</f>
        <v/>
      </c>
    </row>
    <row r="591" customFormat="false" ht="15" hidden="false" customHeight="false" outlineLevel="0" collapsed="false">
      <c r="B591" s="28"/>
      <c r="C591" s="24" t="str">
        <f aca="false">IF(B591="","",DATE(YEAR(B591),MONTH(B591),1))</f>
        <v/>
      </c>
      <c r="N591" s="26" t="str">
        <f aca="false">IF(L591="","",L591*M591)</f>
        <v/>
      </c>
      <c r="P591" s="26" t="str">
        <f aca="false">IF(L591="","",N591-L591*O591)</f>
        <v/>
      </c>
      <c r="T591" s="22" t="str">
        <f aca="false">IF(R591="","",IF(R591&lt;=Q591,"Yes","No"))</f>
        <v/>
      </c>
      <c r="U591" s="22" t="str">
        <f aca="false">IF(B591="","",TEXT(YEAR(B591),"0"))</f>
        <v/>
      </c>
    </row>
    <row r="592" customFormat="false" ht="15" hidden="false" customHeight="false" outlineLevel="0" collapsed="false">
      <c r="B592" s="28"/>
      <c r="C592" s="24" t="str">
        <f aca="false">IF(B592="","",DATE(YEAR(B592),MONTH(B592),1))</f>
        <v/>
      </c>
      <c r="N592" s="26" t="str">
        <f aca="false">IF(L592="","",L592*M592)</f>
        <v/>
      </c>
      <c r="P592" s="26" t="str">
        <f aca="false">IF(L592="","",N592-L592*O592)</f>
        <v/>
      </c>
      <c r="T592" s="22" t="str">
        <f aca="false">IF(R592="","",IF(R592&lt;=Q592,"Yes","No"))</f>
        <v/>
      </c>
      <c r="U592" s="22" t="str">
        <f aca="false">IF(B592="","",TEXT(YEAR(B592),"0"))</f>
        <v/>
      </c>
    </row>
    <row r="593" customFormat="false" ht="15" hidden="false" customHeight="false" outlineLevel="0" collapsed="false">
      <c r="B593" s="28"/>
      <c r="C593" s="24" t="str">
        <f aca="false">IF(B593="","",DATE(YEAR(B593),MONTH(B593),1))</f>
        <v/>
      </c>
      <c r="N593" s="26" t="str">
        <f aca="false">IF(L593="","",L593*M593)</f>
        <v/>
      </c>
      <c r="P593" s="26" t="str">
        <f aca="false">IF(L593="","",N593-L593*O593)</f>
        <v/>
      </c>
      <c r="T593" s="22" t="str">
        <f aca="false">IF(R593="","",IF(R593&lt;=Q593,"Yes","No"))</f>
        <v/>
      </c>
      <c r="U593" s="22" t="str">
        <f aca="false">IF(B593="","",TEXT(YEAR(B593),"0"))</f>
        <v/>
      </c>
    </row>
    <row r="594" customFormat="false" ht="15" hidden="false" customHeight="false" outlineLevel="0" collapsed="false">
      <c r="B594" s="28"/>
      <c r="C594" s="24" t="str">
        <f aca="false">IF(B594="","",DATE(YEAR(B594),MONTH(B594),1))</f>
        <v/>
      </c>
      <c r="N594" s="26" t="str">
        <f aca="false">IF(L594="","",L594*M594)</f>
        <v/>
      </c>
      <c r="P594" s="26" t="str">
        <f aca="false">IF(L594="","",N594-L594*O594)</f>
        <v/>
      </c>
      <c r="T594" s="22" t="str">
        <f aca="false">IF(R594="","",IF(R594&lt;=Q594,"Yes","No"))</f>
        <v/>
      </c>
      <c r="U594" s="22" t="str">
        <f aca="false">IF(B594="","",TEXT(YEAR(B594),"0"))</f>
        <v/>
      </c>
    </row>
    <row r="595" customFormat="false" ht="15" hidden="false" customHeight="false" outlineLevel="0" collapsed="false">
      <c r="B595" s="28"/>
      <c r="C595" s="24" t="str">
        <f aca="false">IF(B595="","",DATE(YEAR(B595),MONTH(B595),1))</f>
        <v/>
      </c>
      <c r="N595" s="26" t="str">
        <f aca="false">IF(L595="","",L595*M595)</f>
        <v/>
      </c>
      <c r="P595" s="26" t="str">
        <f aca="false">IF(L595="","",N595-L595*O595)</f>
        <v/>
      </c>
      <c r="T595" s="22" t="str">
        <f aca="false">IF(R595="","",IF(R595&lt;=Q595,"Yes","No"))</f>
        <v/>
      </c>
      <c r="U595" s="22" t="str">
        <f aca="false">IF(B595="","",TEXT(YEAR(B595),"0"))</f>
        <v/>
      </c>
    </row>
    <row r="596" customFormat="false" ht="15" hidden="false" customHeight="false" outlineLevel="0" collapsed="false">
      <c r="B596" s="28"/>
      <c r="C596" s="24" t="str">
        <f aca="false">IF(B596="","",DATE(YEAR(B596),MONTH(B596),1))</f>
        <v/>
      </c>
      <c r="N596" s="26" t="str">
        <f aca="false">IF(L596="","",L596*M596)</f>
        <v/>
      </c>
      <c r="P596" s="26" t="str">
        <f aca="false">IF(L596="","",N596-L596*O596)</f>
        <v/>
      </c>
      <c r="T596" s="22" t="str">
        <f aca="false">IF(R596="","",IF(R596&lt;=Q596,"Yes","No"))</f>
        <v/>
      </c>
      <c r="U596" s="22" t="str">
        <f aca="false">IF(B596="","",TEXT(YEAR(B596),"0"))</f>
        <v/>
      </c>
    </row>
    <row r="597" customFormat="false" ht="15" hidden="false" customHeight="false" outlineLevel="0" collapsed="false">
      <c r="B597" s="28"/>
      <c r="C597" s="24" t="str">
        <f aca="false">IF(B597="","",DATE(YEAR(B597),MONTH(B597),1))</f>
        <v/>
      </c>
      <c r="N597" s="26" t="str">
        <f aca="false">IF(L597="","",L597*M597)</f>
        <v/>
      </c>
      <c r="P597" s="26" t="str">
        <f aca="false">IF(L597="","",N597-L597*O597)</f>
        <v/>
      </c>
      <c r="T597" s="22" t="str">
        <f aca="false">IF(R597="","",IF(R597&lt;=Q597,"Yes","No"))</f>
        <v/>
      </c>
      <c r="U597" s="22" t="str">
        <f aca="false">IF(B597="","",TEXT(YEAR(B597),"0"))</f>
        <v/>
      </c>
    </row>
    <row r="598" customFormat="false" ht="15" hidden="false" customHeight="false" outlineLevel="0" collapsed="false">
      <c r="B598" s="28"/>
      <c r="C598" s="24" t="str">
        <f aca="false">IF(B598="","",DATE(YEAR(B598),MONTH(B598),1))</f>
        <v/>
      </c>
      <c r="N598" s="26" t="str">
        <f aca="false">IF(L598="","",L598*M598)</f>
        <v/>
      </c>
      <c r="P598" s="26" t="str">
        <f aca="false">IF(L598="","",N598-L598*O598)</f>
        <v/>
      </c>
      <c r="T598" s="22" t="str">
        <f aca="false">IF(R598="","",IF(R598&lt;=Q598,"Yes","No"))</f>
        <v/>
      </c>
      <c r="U598" s="22" t="str">
        <f aca="false">IF(B598="","",TEXT(YEAR(B598),"0"))</f>
        <v/>
      </c>
    </row>
    <row r="599" customFormat="false" ht="15" hidden="false" customHeight="false" outlineLevel="0" collapsed="false">
      <c r="B599" s="28"/>
      <c r="C599" s="24" t="str">
        <f aca="false">IF(B599="","",DATE(YEAR(B599),MONTH(B599),1))</f>
        <v/>
      </c>
      <c r="N599" s="26" t="str">
        <f aca="false">IF(L599="","",L599*M599)</f>
        <v/>
      </c>
      <c r="P599" s="26" t="str">
        <f aca="false">IF(L599="","",N599-L599*O599)</f>
        <v/>
      </c>
      <c r="T599" s="22" t="str">
        <f aca="false">IF(R599="","",IF(R599&lt;=Q599,"Yes","No"))</f>
        <v/>
      </c>
      <c r="U599" s="22" t="str">
        <f aca="false">IF(B599="","",TEXT(YEAR(B599),"0"))</f>
        <v/>
      </c>
    </row>
    <row r="600" customFormat="false" ht="15" hidden="false" customHeight="false" outlineLevel="0" collapsed="false">
      <c r="B600" s="28"/>
      <c r="C600" s="24" t="str">
        <f aca="false">IF(B600="","",DATE(YEAR(B600),MONTH(B600),1))</f>
        <v/>
      </c>
      <c r="N600" s="26" t="str">
        <f aca="false">IF(L600="","",L600*M600)</f>
        <v/>
      </c>
      <c r="P600" s="26" t="str">
        <f aca="false">IF(L600="","",N600-L600*O600)</f>
        <v/>
      </c>
      <c r="T600" s="22" t="str">
        <f aca="false">IF(R600="","",IF(R600&lt;=Q600,"Yes","No"))</f>
        <v/>
      </c>
      <c r="U600" s="22" t="str">
        <f aca="false">IF(B600="","",TEXT(YEAR(B600),"0"))</f>
        <v/>
      </c>
    </row>
    <row r="601" customFormat="false" ht="15" hidden="false" customHeight="false" outlineLevel="0" collapsed="false">
      <c r="B601" s="28"/>
      <c r="C601" s="24" t="str">
        <f aca="false">IF(B601="","",DATE(YEAR(B601),MONTH(B601),1))</f>
        <v/>
      </c>
      <c r="N601" s="26" t="str">
        <f aca="false">IF(L601="","",L601*M601)</f>
        <v/>
      </c>
      <c r="P601" s="26" t="str">
        <f aca="false">IF(L601="","",N601-L601*O601)</f>
        <v/>
      </c>
      <c r="T601" s="22" t="str">
        <f aca="false">IF(R601="","",IF(R601&lt;=Q601,"Yes","No"))</f>
        <v/>
      </c>
      <c r="U601" s="22" t="str">
        <f aca="false">IF(B601="","",TEXT(YEAR(B601),"0"))</f>
        <v/>
      </c>
    </row>
    <row r="602" customFormat="false" ht="15" hidden="false" customHeight="false" outlineLevel="0" collapsed="false">
      <c r="B602" s="28"/>
      <c r="C602" s="24" t="str">
        <f aca="false">IF(B602="","",DATE(YEAR(B602),MONTH(B602),1))</f>
        <v/>
      </c>
      <c r="N602" s="26" t="str">
        <f aca="false">IF(L602="","",L602*M602)</f>
        <v/>
      </c>
      <c r="P602" s="26" t="str">
        <f aca="false">IF(L602="","",N602-L602*O602)</f>
        <v/>
      </c>
      <c r="T602" s="22" t="str">
        <f aca="false">IF(R602="","",IF(R602&lt;=Q602,"Yes","No"))</f>
        <v/>
      </c>
      <c r="U602" s="22" t="str">
        <f aca="false">IF(B602="","",TEXT(YEAR(B602),"0"))</f>
        <v/>
      </c>
    </row>
    <row r="603" customFormat="false" ht="15" hidden="false" customHeight="false" outlineLevel="0" collapsed="false">
      <c r="B603" s="28"/>
      <c r="C603" s="24" t="str">
        <f aca="false">IF(B603="","",DATE(YEAR(B603),MONTH(B603),1))</f>
        <v/>
      </c>
      <c r="N603" s="26" t="str">
        <f aca="false">IF(L603="","",L603*M603)</f>
        <v/>
      </c>
      <c r="P603" s="26" t="str">
        <f aca="false">IF(L603="","",N603-L603*O603)</f>
        <v/>
      </c>
      <c r="T603" s="22" t="str">
        <f aca="false">IF(R603="","",IF(R603&lt;=Q603,"Yes","No"))</f>
        <v/>
      </c>
      <c r="U603" s="22" t="str">
        <f aca="false">IF(B603="","",TEXT(YEAR(B603),"0"))</f>
        <v/>
      </c>
    </row>
    <row r="604" customFormat="false" ht="15" hidden="false" customHeight="false" outlineLevel="0" collapsed="false">
      <c r="B604" s="28"/>
      <c r="C604" s="24" t="str">
        <f aca="false">IF(B604="","",DATE(YEAR(B604),MONTH(B604),1))</f>
        <v/>
      </c>
      <c r="N604" s="26" t="str">
        <f aca="false">IF(L604="","",L604*M604)</f>
        <v/>
      </c>
      <c r="P604" s="26" t="str">
        <f aca="false">IF(L604="","",N604-L604*O604)</f>
        <v/>
      </c>
      <c r="T604" s="22" t="str">
        <f aca="false">IF(R604="","",IF(R604&lt;=Q604,"Yes","No"))</f>
        <v/>
      </c>
      <c r="U604" s="22" t="str">
        <f aca="false">IF(B604="","",TEXT(YEAR(B604),"0"))</f>
        <v/>
      </c>
    </row>
    <row r="605" customFormat="false" ht="15" hidden="false" customHeight="false" outlineLevel="0" collapsed="false">
      <c r="B605" s="28"/>
      <c r="C605" s="24" t="str">
        <f aca="false">IF(B605="","",DATE(YEAR(B605),MONTH(B605),1))</f>
        <v/>
      </c>
      <c r="N605" s="26" t="str">
        <f aca="false">IF(L605="","",L605*M605)</f>
        <v/>
      </c>
      <c r="P605" s="26" t="str">
        <f aca="false">IF(L605="","",N605-L605*O605)</f>
        <v/>
      </c>
      <c r="T605" s="22" t="str">
        <f aca="false">IF(R605="","",IF(R605&lt;=Q605,"Yes","No"))</f>
        <v/>
      </c>
      <c r="U605" s="22" t="str">
        <f aca="false">IF(B605="","",TEXT(YEAR(B605),"0"))</f>
        <v/>
      </c>
    </row>
    <row r="606" customFormat="false" ht="15" hidden="false" customHeight="false" outlineLevel="0" collapsed="false">
      <c r="B606" s="28"/>
      <c r="C606" s="24" t="str">
        <f aca="false">IF(B606="","",DATE(YEAR(B606),MONTH(B606),1))</f>
        <v/>
      </c>
      <c r="N606" s="26" t="str">
        <f aca="false">IF(L606="","",L606*M606)</f>
        <v/>
      </c>
      <c r="P606" s="26" t="str">
        <f aca="false">IF(L606="","",N606-L606*O606)</f>
        <v/>
      </c>
      <c r="T606" s="22" t="str">
        <f aca="false">IF(R606="","",IF(R606&lt;=Q606,"Yes","No"))</f>
        <v/>
      </c>
      <c r="U606" s="22" t="str">
        <f aca="false">IF(B606="","",TEXT(YEAR(B606),"0"))</f>
        <v/>
      </c>
    </row>
    <row r="607" customFormat="false" ht="15" hidden="false" customHeight="false" outlineLevel="0" collapsed="false">
      <c r="B607" s="28"/>
      <c r="C607" s="24" t="str">
        <f aca="false">IF(B607="","",DATE(YEAR(B607),MONTH(B607),1))</f>
        <v/>
      </c>
      <c r="N607" s="26" t="str">
        <f aca="false">IF(L607="","",L607*M607)</f>
        <v/>
      </c>
      <c r="P607" s="26" t="str">
        <f aca="false">IF(L607="","",N607-L607*O607)</f>
        <v/>
      </c>
      <c r="T607" s="22" t="str">
        <f aca="false">IF(R607="","",IF(R607&lt;=Q607,"Yes","No"))</f>
        <v/>
      </c>
      <c r="U607" s="22" t="str">
        <f aca="false">IF(B607="","",TEXT(YEAR(B607),"0"))</f>
        <v/>
      </c>
    </row>
    <row r="608" customFormat="false" ht="15" hidden="false" customHeight="false" outlineLevel="0" collapsed="false">
      <c r="B608" s="28"/>
      <c r="C608" s="24" t="str">
        <f aca="false">IF(B608="","",DATE(YEAR(B608),MONTH(B608),1))</f>
        <v/>
      </c>
      <c r="N608" s="26" t="str">
        <f aca="false">IF(L608="","",L608*M608)</f>
        <v/>
      </c>
      <c r="P608" s="26" t="str">
        <f aca="false">IF(L608="","",N608-L608*O608)</f>
        <v/>
      </c>
      <c r="T608" s="22" t="str">
        <f aca="false">IF(R608="","",IF(R608&lt;=Q608,"Yes","No"))</f>
        <v/>
      </c>
      <c r="U608" s="22" t="str">
        <f aca="false">IF(B608="","",TEXT(YEAR(B608),"0"))</f>
        <v/>
      </c>
    </row>
    <row r="609" customFormat="false" ht="15" hidden="false" customHeight="false" outlineLevel="0" collapsed="false">
      <c r="B609" s="28"/>
      <c r="C609" s="24" t="str">
        <f aca="false">IF(B609="","",DATE(YEAR(B609),MONTH(B609),1))</f>
        <v/>
      </c>
      <c r="N609" s="26" t="str">
        <f aca="false">IF(L609="","",L609*M609)</f>
        <v/>
      </c>
      <c r="P609" s="26" t="str">
        <f aca="false">IF(L609="","",N609-L609*O609)</f>
        <v/>
      </c>
      <c r="T609" s="22" t="str">
        <f aca="false">IF(R609="","",IF(R609&lt;=Q609,"Yes","No"))</f>
        <v/>
      </c>
      <c r="U609" s="22" t="str">
        <f aca="false">IF(B609="","",TEXT(YEAR(B609),"0"))</f>
        <v/>
      </c>
    </row>
    <row r="610" customFormat="false" ht="15" hidden="false" customHeight="false" outlineLevel="0" collapsed="false">
      <c r="B610" s="28"/>
      <c r="C610" s="24" t="str">
        <f aca="false">IF(B610="","",DATE(YEAR(B610),MONTH(B610),1))</f>
        <v/>
      </c>
      <c r="N610" s="26" t="str">
        <f aca="false">IF(L610="","",L610*M610)</f>
        <v/>
      </c>
      <c r="P610" s="26" t="str">
        <f aca="false">IF(L610="","",N610-L610*O610)</f>
        <v/>
      </c>
      <c r="T610" s="22" t="str">
        <f aca="false">IF(R610="","",IF(R610&lt;=Q610,"Yes","No"))</f>
        <v/>
      </c>
      <c r="U610" s="22" t="str">
        <f aca="false">IF(B610="","",TEXT(YEAR(B610),"0"))</f>
        <v/>
      </c>
    </row>
    <row r="611" customFormat="false" ht="15" hidden="false" customHeight="false" outlineLevel="0" collapsed="false">
      <c r="B611" s="28"/>
      <c r="C611" s="24" t="str">
        <f aca="false">IF(B611="","",DATE(YEAR(B611),MONTH(B611),1))</f>
        <v/>
      </c>
      <c r="N611" s="26" t="str">
        <f aca="false">IF(L611="","",L611*M611)</f>
        <v/>
      </c>
      <c r="P611" s="26" t="str">
        <f aca="false">IF(L611="","",N611-L611*O611)</f>
        <v/>
      </c>
      <c r="T611" s="22" t="str">
        <f aca="false">IF(R611="","",IF(R611&lt;=Q611,"Yes","No"))</f>
        <v/>
      </c>
      <c r="U611" s="22" t="str">
        <f aca="false">IF(B611="","",TEXT(YEAR(B611),"0"))</f>
        <v/>
      </c>
    </row>
    <row r="612" customFormat="false" ht="15" hidden="false" customHeight="false" outlineLevel="0" collapsed="false">
      <c r="B612" s="28"/>
      <c r="C612" s="24" t="str">
        <f aca="false">IF(B612="","",DATE(YEAR(B612),MONTH(B612),1))</f>
        <v/>
      </c>
      <c r="N612" s="26" t="str">
        <f aca="false">IF(L612="","",L612*M612)</f>
        <v/>
      </c>
      <c r="P612" s="26" t="str">
        <f aca="false">IF(L612="","",N612-L612*O612)</f>
        <v/>
      </c>
      <c r="T612" s="22" t="str">
        <f aca="false">IF(R612="","",IF(R612&lt;=Q612,"Yes","No"))</f>
        <v/>
      </c>
      <c r="U612" s="22" t="str">
        <f aca="false">IF(B612="","",TEXT(YEAR(B612),"0"))</f>
        <v/>
      </c>
    </row>
    <row r="613" customFormat="false" ht="15" hidden="false" customHeight="false" outlineLevel="0" collapsed="false">
      <c r="B613" s="28"/>
      <c r="C613" s="24" t="str">
        <f aca="false">IF(B613="","",DATE(YEAR(B613),MONTH(B613),1))</f>
        <v/>
      </c>
      <c r="N613" s="26" t="str">
        <f aca="false">IF(L613="","",L613*M613)</f>
        <v/>
      </c>
      <c r="P613" s="26" t="str">
        <f aca="false">IF(L613="","",N613-L613*O613)</f>
        <v/>
      </c>
      <c r="T613" s="22" t="str">
        <f aca="false">IF(R613="","",IF(R613&lt;=Q613,"Yes","No"))</f>
        <v/>
      </c>
      <c r="U613" s="22" t="str">
        <f aca="false">IF(B613="","",TEXT(YEAR(B613),"0"))</f>
        <v/>
      </c>
    </row>
    <row r="614" customFormat="false" ht="15" hidden="false" customHeight="false" outlineLevel="0" collapsed="false">
      <c r="B614" s="28"/>
      <c r="C614" s="24" t="str">
        <f aca="false">IF(B614="","",DATE(YEAR(B614),MONTH(B614),1))</f>
        <v/>
      </c>
      <c r="N614" s="26" t="str">
        <f aca="false">IF(L614="","",L614*M614)</f>
        <v/>
      </c>
      <c r="P614" s="26" t="str">
        <f aca="false">IF(L614="","",N614-L614*O614)</f>
        <v/>
      </c>
      <c r="T614" s="22" t="str">
        <f aca="false">IF(R614="","",IF(R614&lt;=Q614,"Yes","No"))</f>
        <v/>
      </c>
      <c r="U614" s="22" t="str">
        <f aca="false">IF(B614="","",TEXT(YEAR(B614),"0"))</f>
        <v/>
      </c>
    </row>
    <row r="615" customFormat="false" ht="15" hidden="false" customHeight="false" outlineLevel="0" collapsed="false">
      <c r="B615" s="28"/>
      <c r="C615" s="24" t="str">
        <f aca="false">IF(B615="","",DATE(YEAR(B615),MONTH(B615),1))</f>
        <v/>
      </c>
      <c r="N615" s="26" t="str">
        <f aca="false">IF(L615="","",L615*M615)</f>
        <v/>
      </c>
      <c r="P615" s="26" t="str">
        <f aca="false">IF(L615="","",N615-L615*O615)</f>
        <v/>
      </c>
      <c r="T615" s="22" t="str">
        <f aca="false">IF(R615="","",IF(R615&lt;=Q615,"Yes","No"))</f>
        <v/>
      </c>
      <c r="U615" s="22" t="str">
        <f aca="false">IF(B615="","",TEXT(YEAR(B615),"0"))</f>
        <v/>
      </c>
    </row>
    <row r="616" customFormat="false" ht="15" hidden="false" customHeight="false" outlineLevel="0" collapsed="false">
      <c r="B616" s="28"/>
      <c r="C616" s="24" t="str">
        <f aca="false">IF(B616="","",DATE(YEAR(B616),MONTH(B616),1))</f>
        <v/>
      </c>
      <c r="N616" s="26" t="str">
        <f aca="false">IF(L616="","",L616*M616)</f>
        <v/>
      </c>
      <c r="P616" s="26" t="str">
        <f aca="false">IF(L616="","",N616-L616*O616)</f>
        <v/>
      </c>
      <c r="T616" s="22" t="str">
        <f aca="false">IF(R616="","",IF(R616&lt;=Q616,"Yes","No"))</f>
        <v/>
      </c>
      <c r="U616" s="22" t="str">
        <f aca="false">IF(B616="","",TEXT(YEAR(B616),"0"))</f>
        <v/>
      </c>
    </row>
    <row r="617" customFormat="false" ht="15" hidden="false" customHeight="false" outlineLevel="0" collapsed="false">
      <c r="B617" s="28"/>
      <c r="C617" s="24" t="str">
        <f aca="false">IF(B617="","",DATE(YEAR(B617),MONTH(B617),1))</f>
        <v/>
      </c>
      <c r="N617" s="26" t="str">
        <f aca="false">IF(L617="","",L617*M617)</f>
        <v/>
      </c>
      <c r="P617" s="26" t="str">
        <f aca="false">IF(L617="","",N617-L617*O617)</f>
        <v/>
      </c>
      <c r="T617" s="22" t="str">
        <f aca="false">IF(R617="","",IF(R617&lt;=Q617,"Yes","No"))</f>
        <v/>
      </c>
      <c r="U617" s="22" t="str">
        <f aca="false">IF(B617="","",TEXT(YEAR(B617),"0"))</f>
        <v/>
      </c>
    </row>
    <row r="618" customFormat="false" ht="15" hidden="false" customHeight="false" outlineLevel="0" collapsed="false">
      <c r="B618" s="28"/>
      <c r="C618" s="24" t="str">
        <f aca="false">IF(B618="","",DATE(YEAR(B618),MONTH(B618),1))</f>
        <v/>
      </c>
      <c r="N618" s="26" t="str">
        <f aca="false">IF(L618="","",L618*M618)</f>
        <v/>
      </c>
      <c r="P618" s="26" t="str">
        <f aca="false">IF(L618="","",N618-L618*O618)</f>
        <v/>
      </c>
      <c r="T618" s="22" t="str">
        <f aca="false">IF(R618="","",IF(R618&lt;=Q618,"Yes","No"))</f>
        <v/>
      </c>
      <c r="U618" s="22" t="str">
        <f aca="false">IF(B618="","",TEXT(YEAR(B618),"0"))</f>
        <v/>
      </c>
    </row>
    <row r="619" customFormat="false" ht="15" hidden="false" customHeight="false" outlineLevel="0" collapsed="false">
      <c r="B619" s="28"/>
      <c r="C619" s="24" t="str">
        <f aca="false">IF(B619="","",DATE(YEAR(B619),MONTH(B619),1))</f>
        <v/>
      </c>
      <c r="N619" s="26" t="str">
        <f aca="false">IF(L619="","",L619*M619)</f>
        <v/>
      </c>
      <c r="P619" s="26" t="str">
        <f aca="false">IF(L619="","",N619-L619*O619)</f>
        <v/>
      </c>
      <c r="T619" s="22" t="str">
        <f aca="false">IF(R619="","",IF(R619&lt;=Q619,"Yes","No"))</f>
        <v/>
      </c>
      <c r="U619" s="22" t="str">
        <f aca="false">IF(B619="","",TEXT(YEAR(B619),"0"))</f>
        <v/>
      </c>
    </row>
    <row r="620" customFormat="false" ht="15" hidden="false" customHeight="false" outlineLevel="0" collapsed="false">
      <c r="B620" s="28"/>
      <c r="C620" s="24" t="str">
        <f aca="false">IF(B620="","",DATE(YEAR(B620),MONTH(B620),1))</f>
        <v/>
      </c>
      <c r="N620" s="26" t="str">
        <f aca="false">IF(L620="","",L620*M620)</f>
        <v/>
      </c>
      <c r="P620" s="26" t="str">
        <f aca="false">IF(L620="","",N620-L620*O620)</f>
        <v/>
      </c>
      <c r="T620" s="22" t="str">
        <f aca="false">IF(R620="","",IF(R620&lt;=Q620,"Yes","No"))</f>
        <v/>
      </c>
      <c r="U620" s="22" t="str">
        <f aca="false">IF(B620="","",TEXT(YEAR(B620),"0"))</f>
        <v/>
      </c>
    </row>
    <row r="621" customFormat="false" ht="15" hidden="false" customHeight="false" outlineLevel="0" collapsed="false">
      <c r="B621" s="28"/>
      <c r="C621" s="24" t="str">
        <f aca="false">IF(B621="","",DATE(YEAR(B621),MONTH(B621),1))</f>
        <v/>
      </c>
      <c r="N621" s="26" t="str">
        <f aca="false">IF(L621="","",L621*M621)</f>
        <v/>
      </c>
      <c r="P621" s="26" t="str">
        <f aca="false">IF(L621="","",N621-L621*O621)</f>
        <v/>
      </c>
      <c r="T621" s="22" t="str">
        <f aca="false">IF(R621="","",IF(R621&lt;=Q621,"Yes","No"))</f>
        <v/>
      </c>
      <c r="U621" s="22" t="str">
        <f aca="false">IF(B621="","",TEXT(YEAR(B621),"0"))</f>
        <v/>
      </c>
    </row>
    <row r="622" customFormat="false" ht="15" hidden="false" customHeight="false" outlineLevel="0" collapsed="false">
      <c r="B622" s="28"/>
      <c r="C622" s="24" t="str">
        <f aca="false">IF(B622="","",DATE(YEAR(B622),MONTH(B622),1))</f>
        <v/>
      </c>
      <c r="N622" s="26" t="str">
        <f aca="false">IF(L622="","",L622*M622)</f>
        <v/>
      </c>
      <c r="P622" s="26" t="str">
        <f aca="false">IF(L622="","",N622-L622*O622)</f>
        <v/>
      </c>
      <c r="T622" s="22" t="str">
        <f aca="false">IF(R622="","",IF(R622&lt;=Q622,"Yes","No"))</f>
        <v/>
      </c>
      <c r="U622" s="22" t="str">
        <f aca="false">IF(B622="","",TEXT(YEAR(B622),"0"))</f>
        <v/>
      </c>
    </row>
    <row r="623" customFormat="false" ht="15" hidden="false" customHeight="false" outlineLevel="0" collapsed="false">
      <c r="B623" s="28"/>
      <c r="C623" s="24" t="str">
        <f aca="false">IF(B623="","",DATE(YEAR(B623),MONTH(B623),1))</f>
        <v/>
      </c>
      <c r="N623" s="26" t="str">
        <f aca="false">IF(L623="","",L623*M623)</f>
        <v/>
      </c>
      <c r="P623" s="26" t="str">
        <f aca="false">IF(L623="","",N623-L623*O623)</f>
        <v/>
      </c>
      <c r="T623" s="22" t="str">
        <f aca="false">IF(R623="","",IF(R623&lt;=Q623,"Yes","No"))</f>
        <v/>
      </c>
      <c r="U623" s="22" t="str">
        <f aca="false">IF(B623="","",TEXT(YEAR(B623),"0"))</f>
        <v/>
      </c>
    </row>
    <row r="624" customFormat="false" ht="15" hidden="false" customHeight="false" outlineLevel="0" collapsed="false">
      <c r="B624" s="28"/>
      <c r="C624" s="24" t="str">
        <f aca="false">IF(B624="","",DATE(YEAR(B624),MONTH(B624),1))</f>
        <v/>
      </c>
      <c r="N624" s="26" t="str">
        <f aca="false">IF(L624="","",L624*M624)</f>
        <v/>
      </c>
      <c r="P624" s="26" t="str">
        <f aca="false">IF(L624="","",N624-L624*O624)</f>
        <v/>
      </c>
      <c r="T624" s="22" t="str">
        <f aca="false">IF(R624="","",IF(R624&lt;=Q624,"Yes","No"))</f>
        <v/>
      </c>
      <c r="U624" s="22" t="str">
        <f aca="false">IF(B624="","",TEXT(YEAR(B624),"0"))</f>
        <v/>
      </c>
    </row>
    <row r="625" customFormat="false" ht="15" hidden="false" customHeight="false" outlineLevel="0" collapsed="false">
      <c r="B625" s="28"/>
      <c r="C625" s="24" t="str">
        <f aca="false">IF(B625="","",DATE(YEAR(B625),MONTH(B625),1))</f>
        <v/>
      </c>
      <c r="N625" s="26" t="str">
        <f aca="false">IF(L625="","",L625*M625)</f>
        <v/>
      </c>
      <c r="P625" s="26" t="str">
        <f aca="false">IF(L625="","",N625-L625*O625)</f>
        <v/>
      </c>
      <c r="T625" s="22" t="str">
        <f aca="false">IF(R625="","",IF(R625&lt;=Q625,"Yes","No"))</f>
        <v/>
      </c>
      <c r="U625" s="22" t="str">
        <f aca="false">IF(B625="","",TEXT(YEAR(B625),"0"))</f>
        <v/>
      </c>
    </row>
    <row r="626" customFormat="false" ht="15" hidden="false" customHeight="false" outlineLevel="0" collapsed="false">
      <c r="B626" s="28"/>
      <c r="C626" s="24" t="str">
        <f aca="false">IF(B626="","",DATE(YEAR(B626),MONTH(B626),1))</f>
        <v/>
      </c>
      <c r="N626" s="26" t="str">
        <f aca="false">IF(L626="","",L626*M626)</f>
        <v/>
      </c>
      <c r="P626" s="26" t="str">
        <f aca="false">IF(L626="","",N626-L626*O626)</f>
        <v/>
      </c>
      <c r="T626" s="22" t="str">
        <f aca="false">IF(R626="","",IF(R626&lt;=Q626,"Yes","No"))</f>
        <v/>
      </c>
      <c r="U626" s="22" t="str">
        <f aca="false">IF(B626="","",TEXT(YEAR(B626),"0"))</f>
        <v/>
      </c>
    </row>
    <row r="627" customFormat="false" ht="15" hidden="false" customHeight="false" outlineLevel="0" collapsed="false">
      <c r="B627" s="28"/>
      <c r="C627" s="24" t="str">
        <f aca="false">IF(B627="","",DATE(YEAR(B627),MONTH(B627),1))</f>
        <v/>
      </c>
      <c r="N627" s="26" t="str">
        <f aca="false">IF(L627="","",L627*M627)</f>
        <v/>
      </c>
      <c r="P627" s="26" t="str">
        <f aca="false">IF(L627="","",N627-L627*O627)</f>
        <v/>
      </c>
      <c r="T627" s="22" t="str">
        <f aca="false">IF(R627="","",IF(R627&lt;=Q627,"Yes","No"))</f>
        <v/>
      </c>
      <c r="U627" s="22" t="str">
        <f aca="false">IF(B627="","",TEXT(YEAR(B627),"0"))</f>
        <v/>
      </c>
    </row>
    <row r="628" customFormat="false" ht="15" hidden="false" customHeight="false" outlineLevel="0" collapsed="false">
      <c r="B628" s="28"/>
      <c r="C628" s="24" t="str">
        <f aca="false">IF(B628="","",DATE(YEAR(B628),MONTH(B628),1))</f>
        <v/>
      </c>
      <c r="N628" s="26" t="str">
        <f aca="false">IF(L628="","",L628*M628)</f>
        <v/>
      </c>
      <c r="P628" s="26" t="str">
        <f aca="false">IF(L628="","",N628-L628*O628)</f>
        <v/>
      </c>
      <c r="T628" s="22" t="str">
        <f aca="false">IF(R628="","",IF(R628&lt;=Q628,"Yes","No"))</f>
        <v/>
      </c>
      <c r="U628" s="22" t="str">
        <f aca="false">IF(B628="","",TEXT(YEAR(B628),"0"))</f>
        <v/>
      </c>
    </row>
    <row r="629" customFormat="false" ht="15" hidden="false" customHeight="false" outlineLevel="0" collapsed="false">
      <c r="B629" s="28"/>
      <c r="C629" s="24" t="str">
        <f aca="false">IF(B629="","",DATE(YEAR(B629),MONTH(B629),1))</f>
        <v/>
      </c>
      <c r="N629" s="26" t="str">
        <f aca="false">IF(L629="","",L629*M629)</f>
        <v/>
      </c>
      <c r="P629" s="26" t="str">
        <f aca="false">IF(L629="","",N629-L629*O629)</f>
        <v/>
      </c>
      <c r="T629" s="22" t="str">
        <f aca="false">IF(R629="","",IF(R629&lt;=Q629,"Yes","No"))</f>
        <v/>
      </c>
      <c r="U629" s="22" t="str">
        <f aca="false">IF(B629="","",TEXT(YEAR(B629),"0"))</f>
        <v/>
      </c>
    </row>
    <row r="630" customFormat="false" ht="15" hidden="false" customHeight="false" outlineLevel="0" collapsed="false">
      <c r="B630" s="28"/>
      <c r="C630" s="24" t="str">
        <f aca="false">IF(B630="","",DATE(YEAR(B630),MONTH(B630),1))</f>
        <v/>
      </c>
      <c r="N630" s="26" t="str">
        <f aca="false">IF(L630="","",L630*M630)</f>
        <v/>
      </c>
      <c r="P630" s="26" t="str">
        <f aca="false">IF(L630="","",N630-L630*O630)</f>
        <v/>
      </c>
      <c r="T630" s="22" t="str">
        <f aca="false">IF(R630="","",IF(R630&lt;=Q630,"Yes","No"))</f>
        <v/>
      </c>
      <c r="U630" s="22" t="str">
        <f aca="false">IF(B630="","",TEXT(YEAR(B630),"0"))</f>
        <v/>
      </c>
    </row>
    <row r="631" customFormat="false" ht="15" hidden="false" customHeight="false" outlineLevel="0" collapsed="false">
      <c r="B631" s="28"/>
      <c r="C631" s="24" t="str">
        <f aca="false">IF(B631="","",DATE(YEAR(B631),MONTH(B631),1))</f>
        <v/>
      </c>
      <c r="N631" s="26" t="str">
        <f aca="false">IF(L631="","",L631*M631)</f>
        <v/>
      </c>
      <c r="P631" s="26" t="str">
        <f aca="false">IF(L631="","",N631-L631*O631)</f>
        <v/>
      </c>
      <c r="T631" s="22" t="str">
        <f aca="false">IF(R631="","",IF(R631&lt;=Q631,"Yes","No"))</f>
        <v/>
      </c>
      <c r="U631" s="22" t="str">
        <f aca="false">IF(B631="","",TEXT(YEAR(B631),"0"))</f>
        <v/>
      </c>
    </row>
    <row r="632" customFormat="false" ht="15" hidden="false" customHeight="false" outlineLevel="0" collapsed="false">
      <c r="B632" s="28"/>
      <c r="C632" s="24" t="str">
        <f aca="false">IF(B632="","",DATE(YEAR(B632),MONTH(B632),1))</f>
        <v/>
      </c>
      <c r="N632" s="26" t="str">
        <f aca="false">IF(L632="","",L632*M632)</f>
        <v/>
      </c>
      <c r="P632" s="26" t="str">
        <f aca="false">IF(L632="","",N632-L632*O632)</f>
        <v/>
      </c>
      <c r="T632" s="22" t="str">
        <f aca="false">IF(R632="","",IF(R632&lt;=Q632,"Yes","No"))</f>
        <v/>
      </c>
      <c r="U632" s="22" t="str">
        <f aca="false">IF(B632="","",TEXT(YEAR(B632),"0"))</f>
        <v/>
      </c>
    </row>
    <row r="633" customFormat="false" ht="15" hidden="false" customHeight="false" outlineLevel="0" collapsed="false">
      <c r="B633" s="28"/>
      <c r="C633" s="24" t="str">
        <f aca="false">IF(B633="","",DATE(YEAR(B633),MONTH(B633),1))</f>
        <v/>
      </c>
      <c r="N633" s="26" t="str">
        <f aca="false">IF(L633="","",L633*M633)</f>
        <v/>
      </c>
      <c r="P633" s="26" t="str">
        <f aca="false">IF(L633="","",N633-L633*O633)</f>
        <v/>
      </c>
      <c r="T633" s="22" t="str">
        <f aca="false">IF(R633="","",IF(R633&lt;=Q633,"Yes","No"))</f>
        <v/>
      </c>
      <c r="U633" s="22" t="str">
        <f aca="false">IF(B633="","",TEXT(YEAR(B633),"0"))</f>
        <v/>
      </c>
    </row>
    <row r="634" customFormat="false" ht="15" hidden="false" customHeight="false" outlineLevel="0" collapsed="false">
      <c r="B634" s="28"/>
      <c r="C634" s="24" t="str">
        <f aca="false">IF(B634="","",DATE(YEAR(B634),MONTH(B634),1))</f>
        <v/>
      </c>
      <c r="N634" s="26" t="str">
        <f aca="false">IF(L634="","",L634*M634)</f>
        <v/>
      </c>
      <c r="P634" s="26" t="str">
        <f aca="false">IF(L634="","",N634-L634*O634)</f>
        <v/>
      </c>
      <c r="T634" s="22" t="str">
        <f aca="false">IF(R634="","",IF(R634&lt;=Q634,"Yes","No"))</f>
        <v/>
      </c>
      <c r="U634" s="22" t="str">
        <f aca="false">IF(B634="","",TEXT(YEAR(B634),"0"))</f>
        <v/>
      </c>
    </row>
    <row r="635" customFormat="false" ht="15" hidden="false" customHeight="false" outlineLevel="0" collapsed="false">
      <c r="B635" s="28"/>
      <c r="C635" s="24" t="str">
        <f aca="false">IF(B635="","",DATE(YEAR(B635),MONTH(B635),1))</f>
        <v/>
      </c>
      <c r="N635" s="26" t="str">
        <f aca="false">IF(L635="","",L635*M635)</f>
        <v/>
      </c>
      <c r="P635" s="26" t="str">
        <f aca="false">IF(L635="","",N635-L635*O635)</f>
        <v/>
      </c>
      <c r="T635" s="22" t="str">
        <f aca="false">IF(R635="","",IF(R635&lt;=Q635,"Yes","No"))</f>
        <v/>
      </c>
      <c r="U635" s="22" t="str">
        <f aca="false">IF(B635="","",TEXT(YEAR(B635),"0"))</f>
        <v/>
      </c>
    </row>
    <row r="636" customFormat="false" ht="15" hidden="false" customHeight="false" outlineLevel="0" collapsed="false">
      <c r="B636" s="28"/>
      <c r="C636" s="24" t="str">
        <f aca="false">IF(B636="","",DATE(YEAR(B636),MONTH(B636),1))</f>
        <v/>
      </c>
      <c r="N636" s="26" t="str">
        <f aca="false">IF(L636="","",L636*M636)</f>
        <v/>
      </c>
      <c r="P636" s="26" t="str">
        <f aca="false">IF(L636="","",N636-L636*O636)</f>
        <v/>
      </c>
      <c r="T636" s="22" t="str">
        <f aca="false">IF(R636="","",IF(R636&lt;=Q636,"Yes","No"))</f>
        <v/>
      </c>
      <c r="U636" s="22" t="str">
        <f aca="false">IF(B636="","",TEXT(YEAR(B636),"0"))</f>
        <v/>
      </c>
    </row>
    <row r="637" customFormat="false" ht="15" hidden="false" customHeight="false" outlineLevel="0" collapsed="false">
      <c r="B637" s="28"/>
      <c r="C637" s="24" t="str">
        <f aca="false">IF(B637="","",DATE(YEAR(B637),MONTH(B637),1))</f>
        <v/>
      </c>
      <c r="N637" s="26" t="str">
        <f aca="false">IF(L637="","",L637*M637)</f>
        <v/>
      </c>
      <c r="P637" s="26" t="str">
        <f aca="false">IF(L637="","",N637-L637*O637)</f>
        <v/>
      </c>
      <c r="T637" s="22" t="str">
        <f aca="false">IF(R637="","",IF(R637&lt;=Q637,"Yes","No"))</f>
        <v/>
      </c>
      <c r="U637" s="22" t="str">
        <f aca="false">IF(B637="","",TEXT(YEAR(B637),"0"))</f>
        <v/>
      </c>
    </row>
    <row r="638" customFormat="false" ht="15" hidden="false" customHeight="false" outlineLevel="0" collapsed="false">
      <c r="B638" s="28"/>
      <c r="C638" s="24" t="str">
        <f aca="false">IF(B638="","",DATE(YEAR(B638),MONTH(B638),1))</f>
        <v/>
      </c>
      <c r="N638" s="26" t="str">
        <f aca="false">IF(L638="","",L638*M638)</f>
        <v/>
      </c>
      <c r="P638" s="26" t="str">
        <f aca="false">IF(L638="","",N638-L638*O638)</f>
        <v/>
      </c>
      <c r="T638" s="22" t="str">
        <f aca="false">IF(R638="","",IF(R638&lt;=Q638,"Yes","No"))</f>
        <v/>
      </c>
      <c r="U638" s="22" t="str">
        <f aca="false">IF(B638="","",TEXT(YEAR(B638),"0"))</f>
        <v/>
      </c>
    </row>
    <row r="639" customFormat="false" ht="15" hidden="false" customHeight="false" outlineLevel="0" collapsed="false">
      <c r="B639" s="28"/>
      <c r="C639" s="24" t="str">
        <f aca="false">IF(B639="","",DATE(YEAR(B639),MONTH(B639),1))</f>
        <v/>
      </c>
      <c r="N639" s="26" t="str">
        <f aca="false">IF(L639="","",L639*M639)</f>
        <v/>
      </c>
      <c r="P639" s="26" t="str">
        <f aca="false">IF(L639="","",N639-L639*O639)</f>
        <v/>
      </c>
      <c r="T639" s="22" t="str">
        <f aca="false">IF(R639="","",IF(R639&lt;=Q639,"Yes","No"))</f>
        <v/>
      </c>
      <c r="U639" s="22" t="str">
        <f aca="false">IF(B639="","",TEXT(YEAR(B639),"0"))</f>
        <v/>
      </c>
    </row>
    <row r="640" customFormat="false" ht="15" hidden="false" customHeight="false" outlineLevel="0" collapsed="false">
      <c r="B640" s="28"/>
      <c r="C640" s="24" t="str">
        <f aca="false">IF(B640="","",DATE(YEAR(B640),MONTH(B640),1))</f>
        <v/>
      </c>
      <c r="N640" s="26" t="str">
        <f aca="false">IF(L640="","",L640*M640)</f>
        <v/>
      </c>
      <c r="P640" s="26" t="str">
        <f aca="false">IF(L640="","",N640-L640*O640)</f>
        <v/>
      </c>
      <c r="T640" s="22" t="str">
        <f aca="false">IF(R640="","",IF(R640&lt;=Q640,"Yes","No"))</f>
        <v/>
      </c>
      <c r="U640" s="22" t="str">
        <f aca="false">IF(B640="","",TEXT(YEAR(B640),"0"))</f>
        <v/>
      </c>
    </row>
    <row r="641" customFormat="false" ht="15" hidden="false" customHeight="false" outlineLevel="0" collapsed="false">
      <c r="B641" s="28"/>
      <c r="C641" s="24" t="str">
        <f aca="false">IF(B641="","",DATE(YEAR(B641),MONTH(B641),1))</f>
        <v/>
      </c>
      <c r="N641" s="26" t="str">
        <f aca="false">IF(L641="","",L641*M641)</f>
        <v/>
      </c>
      <c r="P641" s="26" t="str">
        <f aca="false">IF(L641="","",N641-L641*O641)</f>
        <v/>
      </c>
      <c r="T641" s="22" t="str">
        <f aca="false">IF(R641="","",IF(R641&lt;=Q641,"Yes","No"))</f>
        <v/>
      </c>
      <c r="U641" s="22" t="str">
        <f aca="false">IF(B641="","",TEXT(YEAR(B641),"0"))</f>
        <v/>
      </c>
    </row>
    <row r="642" customFormat="false" ht="15" hidden="false" customHeight="false" outlineLevel="0" collapsed="false">
      <c r="B642" s="28"/>
      <c r="C642" s="24" t="str">
        <f aca="false">IF(B642="","",DATE(YEAR(B642),MONTH(B642),1))</f>
        <v/>
      </c>
      <c r="N642" s="26" t="str">
        <f aca="false">IF(L642="","",L642*M642)</f>
        <v/>
      </c>
      <c r="P642" s="26" t="str">
        <f aca="false">IF(L642="","",N642-L642*O642)</f>
        <v/>
      </c>
      <c r="T642" s="22" t="str">
        <f aca="false">IF(R642="","",IF(R642&lt;=Q642,"Yes","No"))</f>
        <v/>
      </c>
      <c r="U642" s="22" t="str">
        <f aca="false">IF(B642="","",TEXT(YEAR(B642),"0"))</f>
        <v/>
      </c>
    </row>
    <row r="643" customFormat="false" ht="15" hidden="false" customHeight="false" outlineLevel="0" collapsed="false">
      <c r="B643" s="28"/>
      <c r="C643" s="24" t="str">
        <f aca="false">IF(B643="","",DATE(YEAR(B643),MONTH(B643),1))</f>
        <v/>
      </c>
      <c r="N643" s="26" t="str">
        <f aca="false">IF(L643="","",L643*M643)</f>
        <v/>
      </c>
      <c r="P643" s="26" t="str">
        <f aca="false">IF(L643="","",N643-L643*O643)</f>
        <v/>
      </c>
      <c r="T643" s="22" t="str">
        <f aca="false">IF(R643="","",IF(R643&lt;=Q643,"Yes","No"))</f>
        <v/>
      </c>
      <c r="U643" s="22" t="str">
        <f aca="false">IF(B643="","",TEXT(YEAR(B643),"0"))</f>
        <v/>
      </c>
    </row>
    <row r="644" customFormat="false" ht="15" hidden="false" customHeight="false" outlineLevel="0" collapsed="false">
      <c r="B644" s="28"/>
      <c r="C644" s="24" t="str">
        <f aca="false">IF(B644="","",DATE(YEAR(B644),MONTH(B644),1))</f>
        <v/>
      </c>
      <c r="N644" s="26" t="str">
        <f aca="false">IF(L644="","",L644*M644)</f>
        <v/>
      </c>
      <c r="P644" s="26" t="str">
        <f aca="false">IF(L644="","",N644-L644*O644)</f>
        <v/>
      </c>
      <c r="T644" s="22" t="str">
        <f aca="false">IF(R644="","",IF(R644&lt;=Q644,"Yes","No"))</f>
        <v/>
      </c>
      <c r="U644" s="22" t="str">
        <f aca="false">IF(B644="","",TEXT(YEAR(B644),"0"))</f>
        <v/>
      </c>
    </row>
    <row r="645" customFormat="false" ht="15" hidden="false" customHeight="false" outlineLevel="0" collapsed="false">
      <c r="B645" s="28"/>
      <c r="C645" s="24" t="str">
        <f aca="false">IF(B645="","",DATE(YEAR(B645),MONTH(B645),1))</f>
        <v/>
      </c>
      <c r="N645" s="26" t="str">
        <f aca="false">IF(L645="","",L645*M645)</f>
        <v/>
      </c>
      <c r="P645" s="26" t="str">
        <f aca="false">IF(L645="","",N645-L645*O645)</f>
        <v/>
      </c>
      <c r="T645" s="22" t="str">
        <f aca="false">IF(R645="","",IF(R645&lt;=Q645,"Yes","No"))</f>
        <v/>
      </c>
      <c r="U645" s="22" t="str">
        <f aca="false">IF(B645="","",TEXT(YEAR(B645),"0"))</f>
        <v/>
      </c>
    </row>
    <row r="646" customFormat="false" ht="15" hidden="false" customHeight="false" outlineLevel="0" collapsed="false">
      <c r="B646" s="28"/>
      <c r="C646" s="24" t="str">
        <f aca="false">IF(B646="","",DATE(YEAR(B646),MONTH(B646),1))</f>
        <v/>
      </c>
      <c r="N646" s="26" t="str">
        <f aca="false">IF(L646="","",L646*M646)</f>
        <v/>
      </c>
      <c r="P646" s="26" t="str">
        <f aca="false">IF(L646="","",N646-L646*O646)</f>
        <v/>
      </c>
      <c r="T646" s="22" t="str">
        <f aca="false">IF(R646="","",IF(R646&lt;=Q646,"Yes","No"))</f>
        <v/>
      </c>
      <c r="U646" s="22" t="str">
        <f aca="false">IF(B646="","",TEXT(YEAR(B646),"0"))</f>
        <v/>
      </c>
    </row>
    <row r="647" customFormat="false" ht="15" hidden="false" customHeight="false" outlineLevel="0" collapsed="false">
      <c r="B647" s="28"/>
      <c r="C647" s="24" t="str">
        <f aca="false">IF(B647="","",DATE(YEAR(B647),MONTH(B647),1))</f>
        <v/>
      </c>
      <c r="N647" s="26" t="str">
        <f aca="false">IF(L647="","",L647*M647)</f>
        <v/>
      </c>
      <c r="P647" s="26" t="str">
        <f aca="false">IF(L647="","",N647-L647*O647)</f>
        <v/>
      </c>
      <c r="T647" s="22" t="str">
        <f aca="false">IF(R647="","",IF(R647&lt;=Q647,"Yes","No"))</f>
        <v/>
      </c>
      <c r="U647" s="22" t="str">
        <f aca="false">IF(B647="","",TEXT(YEAR(B647),"0"))</f>
        <v/>
      </c>
    </row>
    <row r="648" customFormat="false" ht="15" hidden="false" customHeight="false" outlineLevel="0" collapsed="false">
      <c r="B648" s="28"/>
      <c r="C648" s="24" t="str">
        <f aca="false">IF(B648="","",DATE(YEAR(B648),MONTH(B648),1))</f>
        <v/>
      </c>
      <c r="N648" s="26" t="str">
        <f aca="false">IF(L648="","",L648*M648)</f>
        <v/>
      </c>
      <c r="P648" s="26" t="str">
        <f aca="false">IF(L648="","",N648-L648*O648)</f>
        <v/>
      </c>
      <c r="T648" s="22" t="str">
        <f aca="false">IF(R648="","",IF(R648&lt;=Q648,"Yes","No"))</f>
        <v/>
      </c>
      <c r="U648" s="22" t="str">
        <f aca="false">IF(B648="","",TEXT(YEAR(B648),"0"))</f>
        <v/>
      </c>
    </row>
    <row r="649" customFormat="false" ht="15" hidden="false" customHeight="false" outlineLevel="0" collapsed="false">
      <c r="B649" s="28"/>
      <c r="C649" s="24" t="str">
        <f aca="false">IF(B649="","",DATE(YEAR(B649),MONTH(B649),1))</f>
        <v/>
      </c>
      <c r="N649" s="26" t="str">
        <f aca="false">IF(L649="","",L649*M649)</f>
        <v/>
      </c>
      <c r="P649" s="26" t="str">
        <f aca="false">IF(L649="","",N649-L649*O649)</f>
        <v/>
      </c>
      <c r="T649" s="22" t="str">
        <f aca="false">IF(R649="","",IF(R649&lt;=Q649,"Yes","No"))</f>
        <v/>
      </c>
      <c r="U649" s="22" t="str">
        <f aca="false">IF(B649="","",TEXT(YEAR(B649),"0"))</f>
        <v/>
      </c>
    </row>
    <row r="650" customFormat="false" ht="15" hidden="false" customHeight="false" outlineLevel="0" collapsed="false">
      <c r="B650" s="28"/>
      <c r="C650" s="24" t="str">
        <f aca="false">IF(B650="","",DATE(YEAR(B650),MONTH(B650),1))</f>
        <v/>
      </c>
      <c r="N650" s="26" t="str">
        <f aca="false">IF(L650="","",L650*M650)</f>
        <v/>
      </c>
      <c r="P650" s="26" t="str">
        <f aca="false">IF(L650="","",N650-L650*O650)</f>
        <v/>
      </c>
      <c r="T650" s="22" t="str">
        <f aca="false">IF(R650="","",IF(R650&lt;=Q650,"Yes","No"))</f>
        <v/>
      </c>
      <c r="U650" s="22" t="str">
        <f aca="false">IF(B650="","",TEXT(YEAR(B650),"0"))</f>
        <v/>
      </c>
    </row>
    <row r="651" customFormat="false" ht="15" hidden="false" customHeight="false" outlineLevel="0" collapsed="false">
      <c r="B651" s="28"/>
      <c r="C651" s="24" t="str">
        <f aca="false">IF(B651="","",DATE(YEAR(B651),MONTH(B651),1))</f>
        <v/>
      </c>
      <c r="N651" s="26" t="str">
        <f aca="false">IF(L651="","",L651*M651)</f>
        <v/>
      </c>
      <c r="P651" s="26" t="str">
        <f aca="false">IF(L651="","",N651-L651*O651)</f>
        <v/>
      </c>
      <c r="T651" s="22" t="str">
        <f aca="false">IF(R651="","",IF(R651&lt;=Q651,"Yes","No"))</f>
        <v/>
      </c>
      <c r="U651" s="22" t="str">
        <f aca="false">IF(B651="","",TEXT(YEAR(B651),"0"))</f>
        <v/>
      </c>
    </row>
    <row r="652" customFormat="false" ht="15" hidden="false" customHeight="false" outlineLevel="0" collapsed="false">
      <c r="B652" s="28"/>
      <c r="C652" s="24" t="str">
        <f aca="false">IF(B652="","",DATE(YEAR(B652),MONTH(B652),1))</f>
        <v/>
      </c>
      <c r="N652" s="26" t="str">
        <f aca="false">IF(L652="","",L652*M652)</f>
        <v/>
      </c>
      <c r="P652" s="26" t="str">
        <f aca="false">IF(L652="","",N652-L652*O652)</f>
        <v/>
      </c>
      <c r="T652" s="22" t="str">
        <f aca="false">IF(R652="","",IF(R652&lt;=Q652,"Yes","No"))</f>
        <v/>
      </c>
      <c r="U652" s="22" t="str">
        <f aca="false">IF(B652="","",TEXT(YEAR(B652),"0"))</f>
        <v/>
      </c>
    </row>
    <row r="653" customFormat="false" ht="15" hidden="false" customHeight="false" outlineLevel="0" collapsed="false">
      <c r="B653" s="28"/>
      <c r="C653" s="24" t="str">
        <f aca="false">IF(B653="","",DATE(YEAR(B653),MONTH(B653),1))</f>
        <v/>
      </c>
      <c r="N653" s="26" t="str">
        <f aca="false">IF(L653="","",L653*M653)</f>
        <v/>
      </c>
      <c r="P653" s="26" t="str">
        <f aca="false">IF(L653="","",N653-L653*O653)</f>
        <v/>
      </c>
      <c r="T653" s="22" t="str">
        <f aca="false">IF(R653="","",IF(R653&lt;=Q653,"Yes","No"))</f>
        <v/>
      </c>
      <c r="U653" s="22" t="str">
        <f aca="false">IF(B653="","",TEXT(YEAR(B653),"0"))</f>
        <v/>
      </c>
    </row>
    <row r="654" customFormat="false" ht="15" hidden="false" customHeight="false" outlineLevel="0" collapsed="false">
      <c r="B654" s="28"/>
      <c r="C654" s="24" t="str">
        <f aca="false">IF(B654="","",DATE(YEAR(B654),MONTH(B654),1))</f>
        <v/>
      </c>
      <c r="N654" s="26" t="str">
        <f aca="false">IF(L654="","",L654*M654)</f>
        <v/>
      </c>
      <c r="P654" s="26" t="str">
        <f aca="false">IF(L654="","",N654-L654*O654)</f>
        <v/>
      </c>
      <c r="T654" s="22" t="str">
        <f aca="false">IF(R654="","",IF(R654&lt;=Q654,"Yes","No"))</f>
        <v/>
      </c>
      <c r="U654" s="22" t="str">
        <f aca="false">IF(B654="","",TEXT(YEAR(B654),"0"))</f>
        <v/>
      </c>
    </row>
    <row r="655" customFormat="false" ht="15" hidden="false" customHeight="false" outlineLevel="0" collapsed="false">
      <c r="B655" s="28"/>
      <c r="C655" s="24" t="str">
        <f aca="false">IF(B655="","",DATE(YEAR(B655),MONTH(B655),1))</f>
        <v/>
      </c>
      <c r="N655" s="26" t="str">
        <f aca="false">IF(L655="","",L655*M655)</f>
        <v/>
      </c>
      <c r="P655" s="26" t="str">
        <f aca="false">IF(L655="","",N655-L655*O655)</f>
        <v/>
      </c>
      <c r="T655" s="22" t="str">
        <f aca="false">IF(R655="","",IF(R655&lt;=Q655,"Yes","No"))</f>
        <v/>
      </c>
      <c r="U655" s="22" t="str">
        <f aca="false">IF(B655="","",TEXT(YEAR(B655),"0"))</f>
        <v/>
      </c>
    </row>
    <row r="656" customFormat="false" ht="15" hidden="false" customHeight="false" outlineLevel="0" collapsed="false">
      <c r="B656" s="28"/>
      <c r="C656" s="24" t="str">
        <f aca="false">IF(B656="","",DATE(YEAR(B656),MONTH(B656),1))</f>
        <v/>
      </c>
      <c r="N656" s="26" t="str">
        <f aca="false">IF(L656="","",L656*M656)</f>
        <v/>
      </c>
      <c r="P656" s="26" t="str">
        <f aca="false">IF(L656="","",N656-L656*O656)</f>
        <v/>
      </c>
      <c r="T656" s="22" t="str">
        <f aca="false">IF(R656="","",IF(R656&lt;=Q656,"Yes","No"))</f>
        <v/>
      </c>
      <c r="U656" s="22" t="str">
        <f aca="false">IF(B656="","",TEXT(YEAR(B656),"0"))</f>
        <v/>
      </c>
    </row>
    <row r="657" customFormat="false" ht="15" hidden="false" customHeight="false" outlineLevel="0" collapsed="false">
      <c r="B657" s="28"/>
      <c r="C657" s="24" t="str">
        <f aca="false">IF(B657="","",DATE(YEAR(B657),MONTH(B657),1))</f>
        <v/>
      </c>
      <c r="N657" s="26" t="str">
        <f aca="false">IF(L657="","",L657*M657)</f>
        <v/>
      </c>
      <c r="P657" s="26" t="str">
        <f aca="false">IF(L657="","",N657-L657*O657)</f>
        <v/>
      </c>
      <c r="T657" s="22" t="str">
        <f aca="false">IF(R657="","",IF(R657&lt;=Q657,"Yes","No"))</f>
        <v/>
      </c>
      <c r="U657" s="22" t="str">
        <f aca="false">IF(B657="","",TEXT(YEAR(B657),"0"))</f>
        <v/>
      </c>
    </row>
    <row r="658" customFormat="false" ht="15" hidden="false" customHeight="false" outlineLevel="0" collapsed="false">
      <c r="B658" s="28"/>
      <c r="C658" s="24" t="str">
        <f aca="false">IF(B658="","",DATE(YEAR(B658),MONTH(B658),1))</f>
        <v/>
      </c>
      <c r="N658" s="26" t="str">
        <f aca="false">IF(L658="","",L658*M658)</f>
        <v/>
      </c>
      <c r="P658" s="26" t="str">
        <f aca="false">IF(L658="","",N658-L658*O658)</f>
        <v/>
      </c>
      <c r="T658" s="22" t="str">
        <f aca="false">IF(R658="","",IF(R658&lt;=Q658,"Yes","No"))</f>
        <v/>
      </c>
      <c r="U658" s="22" t="str">
        <f aca="false">IF(B658="","",TEXT(YEAR(B658),"0"))</f>
        <v/>
      </c>
    </row>
    <row r="659" customFormat="false" ht="15" hidden="false" customHeight="false" outlineLevel="0" collapsed="false">
      <c r="B659" s="28"/>
      <c r="C659" s="24" t="str">
        <f aca="false">IF(B659="","",DATE(YEAR(B659),MONTH(B659),1))</f>
        <v/>
      </c>
      <c r="N659" s="26" t="str">
        <f aca="false">IF(L659="","",L659*M659)</f>
        <v/>
      </c>
      <c r="P659" s="26" t="str">
        <f aca="false">IF(L659="","",N659-L659*O659)</f>
        <v/>
      </c>
      <c r="T659" s="22" t="str">
        <f aca="false">IF(R659="","",IF(R659&lt;=Q659,"Yes","No"))</f>
        <v/>
      </c>
      <c r="U659" s="22" t="str">
        <f aca="false">IF(B659="","",TEXT(YEAR(B659),"0"))</f>
        <v/>
      </c>
    </row>
    <row r="660" customFormat="false" ht="15" hidden="false" customHeight="false" outlineLevel="0" collapsed="false">
      <c r="B660" s="28"/>
      <c r="C660" s="24" t="str">
        <f aca="false">IF(B660="","",DATE(YEAR(B660),MONTH(B660),1))</f>
        <v/>
      </c>
      <c r="N660" s="26" t="str">
        <f aca="false">IF(L660="","",L660*M660)</f>
        <v/>
      </c>
      <c r="P660" s="26" t="str">
        <f aca="false">IF(L660="","",N660-L660*O660)</f>
        <v/>
      </c>
      <c r="T660" s="22" t="str">
        <f aca="false">IF(R660="","",IF(R660&lt;=Q660,"Yes","No"))</f>
        <v/>
      </c>
      <c r="U660" s="22" t="str">
        <f aca="false">IF(B660="","",TEXT(YEAR(B660),"0"))</f>
        <v/>
      </c>
    </row>
    <row r="661" customFormat="false" ht="15" hidden="false" customHeight="false" outlineLevel="0" collapsed="false">
      <c r="B661" s="28"/>
      <c r="C661" s="24" t="str">
        <f aca="false">IF(B661="","",DATE(YEAR(B661),MONTH(B661),1))</f>
        <v/>
      </c>
      <c r="N661" s="26" t="str">
        <f aca="false">IF(L661="","",L661*M661)</f>
        <v/>
      </c>
      <c r="P661" s="26" t="str">
        <f aca="false">IF(L661="","",N661-L661*O661)</f>
        <v/>
      </c>
      <c r="T661" s="22" t="str">
        <f aca="false">IF(R661="","",IF(R661&lt;=Q661,"Yes","No"))</f>
        <v/>
      </c>
      <c r="U661" s="22" t="str">
        <f aca="false">IF(B661="","",TEXT(YEAR(B661),"0"))</f>
        <v/>
      </c>
    </row>
    <row r="662" customFormat="false" ht="15" hidden="false" customHeight="false" outlineLevel="0" collapsed="false">
      <c r="B662" s="28"/>
      <c r="C662" s="24" t="str">
        <f aca="false">IF(B662="","",DATE(YEAR(B662),MONTH(B662),1))</f>
        <v/>
      </c>
      <c r="N662" s="26" t="str">
        <f aca="false">IF(L662="","",L662*M662)</f>
        <v/>
      </c>
      <c r="P662" s="26" t="str">
        <f aca="false">IF(L662="","",N662-L662*O662)</f>
        <v/>
      </c>
      <c r="T662" s="22" t="str">
        <f aca="false">IF(R662="","",IF(R662&lt;=Q662,"Yes","No"))</f>
        <v/>
      </c>
      <c r="U662" s="22" t="str">
        <f aca="false">IF(B662="","",TEXT(YEAR(B662),"0"))</f>
        <v/>
      </c>
    </row>
    <row r="663" customFormat="false" ht="15" hidden="false" customHeight="false" outlineLevel="0" collapsed="false">
      <c r="B663" s="28"/>
      <c r="C663" s="24" t="str">
        <f aca="false">IF(B663="","",DATE(YEAR(B663),MONTH(B663),1))</f>
        <v/>
      </c>
      <c r="N663" s="26" t="str">
        <f aca="false">IF(L663="","",L663*M663)</f>
        <v/>
      </c>
      <c r="P663" s="26" t="str">
        <f aca="false">IF(L663="","",N663-L663*O663)</f>
        <v/>
      </c>
      <c r="T663" s="22" t="str">
        <f aca="false">IF(R663="","",IF(R663&lt;=Q663,"Yes","No"))</f>
        <v/>
      </c>
      <c r="U663" s="22" t="str">
        <f aca="false">IF(B663="","",TEXT(YEAR(B663),"0"))</f>
        <v/>
      </c>
    </row>
    <row r="664" customFormat="false" ht="15" hidden="false" customHeight="false" outlineLevel="0" collapsed="false">
      <c r="B664" s="28"/>
      <c r="C664" s="24" t="str">
        <f aca="false">IF(B664="","",DATE(YEAR(B664),MONTH(B664),1))</f>
        <v/>
      </c>
      <c r="N664" s="26" t="str">
        <f aca="false">IF(L664="","",L664*M664)</f>
        <v/>
      </c>
      <c r="P664" s="26" t="str">
        <f aca="false">IF(L664="","",N664-L664*O664)</f>
        <v/>
      </c>
      <c r="T664" s="22" t="str">
        <f aca="false">IF(R664="","",IF(R664&lt;=Q664,"Yes","No"))</f>
        <v/>
      </c>
      <c r="U664" s="22" t="str">
        <f aca="false">IF(B664="","",TEXT(YEAR(B664),"0"))</f>
        <v/>
      </c>
    </row>
    <row r="665" customFormat="false" ht="15" hidden="false" customHeight="false" outlineLevel="0" collapsed="false">
      <c r="B665" s="28"/>
      <c r="C665" s="24" t="str">
        <f aca="false">IF(B665="","",DATE(YEAR(B665),MONTH(B665),1))</f>
        <v/>
      </c>
      <c r="N665" s="26" t="str">
        <f aca="false">IF(L665="","",L665*M665)</f>
        <v/>
      </c>
      <c r="P665" s="26" t="str">
        <f aca="false">IF(L665="","",N665-L665*O665)</f>
        <v/>
      </c>
      <c r="T665" s="22" t="str">
        <f aca="false">IF(R665="","",IF(R665&lt;=Q665,"Yes","No"))</f>
        <v/>
      </c>
      <c r="U665" s="22" t="str">
        <f aca="false">IF(B665="","",TEXT(YEAR(B665),"0"))</f>
        <v/>
      </c>
    </row>
    <row r="666" customFormat="false" ht="15" hidden="false" customHeight="false" outlineLevel="0" collapsed="false">
      <c r="B666" s="28"/>
      <c r="C666" s="24" t="str">
        <f aca="false">IF(B666="","",DATE(YEAR(B666),MONTH(B666),1))</f>
        <v/>
      </c>
      <c r="N666" s="26" t="str">
        <f aca="false">IF(L666="","",L666*M666)</f>
        <v/>
      </c>
      <c r="P666" s="26" t="str">
        <f aca="false">IF(L666="","",N666-L666*O666)</f>
        <v/>
      </c>
      <c r="T666" s="22" t="str">
        <f aca="false">IF(R666="","",IF(R666&lt;=Q666,"Yes","No"))</f>
        <v/>
      </c>
      <c r="U666" s="22" t="str">
        <f aca="false">IF(B666="","",TEXT(YEAR(B666),"0"))</f>
        <v/>
      </c>
    </row>
    <row r="667" customFormat="false" ht="15" hidden="false" customHeight="false" outlineLevel="0" collapsed="false">
      <c r="B667" s="28"/>
      <c r="C667" s="24" t="str">
        <f aca="false">IF(B667="","",DATE(YEAR(B667),MONTH(B667),1))</f>
        <v/>
      </c>
      <c r="N667" s="26" t="str">
        <f aca="false">IF(L667="","",L667*M667)</f>
        <v/>
      </c>
      <c r="P667" s="26" t="str">
        <f aca="false">IF(L667="","",N667-L667*O667)</f>
        <v/>
      </c>
      <c r="T667" s="22" t="str">
        <f aca="false">IF(R667="","",IF(R667&lt;=Q667,"Yes","No"))</f>
        <v/>
      </c>
      <c r="U667" s="22" t="str">
        <f aca="false">IF(B667="","",TEXT(YEAR(B667),"0"))</f>
        <v/>
      </c>
    </row>
    <row r="668" customFormat="false" ht="15" hidden="false" customHeight="false" outlineLevel="0" collapsed="false">
      <c r="B668" s="28"/>
      <c r="C668" s="24" t="str">
        <f aca="false">IF(B668="","",DATE(YEAR(B668),MONTH(B668),1))</f>
        <v/>
      </c>
      <c r="N668" s="26" t="str">
        <f aca="false">IF(L668="","",L668*M668)</f>
        <v/>
      </c>
      <c r="P668" s="26" t="str">
        <f aca="false">IF(L668="","",N668-L668*O668)</f>
        <v/>
      </c>
      <c r="T668" s="22" t="str">
        <f aca="false">IF(R668="","",IF(R668&lt;=Q668,"Yes","No"))</f>
        <v/>
      </c>
      <c r="U668" s="22" t="str">
        <f aca="false">IF(B668="","",TEXT(YEAR(B668),"0"))</f>
        <v/>
      </c>
    </row>
    <row r="669" customFormat="false" ht="15" hidden="false" customHeight="false" outlineLevel="0" collapsed="false">
      <c r="B669" s="28"/>
      <c r="C669" s="24" t="str">
        <f aca="false">IF(B669="","",DATE(YEAR(B669),MONTH(B669),1))</f>
        <v/>
      </c>
      <c r="N669" s="26" t="str">
        <f aca="false">IF(L669="","",L669*M669)</f>
        <v/>
      </c>
      <c r="P669" s="26" t="str">
        <f aca="false">IF(L669="","",N669-L669*O669)</f>
        <v/>
      </c>
      <c r="T669" s="22" t="str">
        <f aca="false">IF(R669="","",IF(R669&lt;=Q669,"Yes","No"))</f>
        <v/>
      </c>
      <c r="U669" s="22" t="str">
        <f aca="false">IF(B669="","",TEXT(YEAR(B669),"0"))</f>
        <v/>
      </c>
    </row>
    <row r="670" customFormat="false" ht="15" hidden="false" customHeight="false" outlineLevel="0" collapsed="false">
      <c r="B670" s="28"/>
      <c r="C670" s="24" t="str">
        <f aca="false">IF(B670="","",DATE(YEAR(B670),MONTH(B670),1))</f>
        <v/>
      </c>
      <c r="N670" s="26" t="str">
        <f aca="false">IF(L670="","",L670*M670)</f>
        <v/>
      </c>
      <c r="P670" s="26" t="str">
        <f aca="false">IF(L670="","",N670-L670*O670)</f>
        <v/>
      </c>
      <c r="T670" s="22" t="str">
        <f aca="false">IF(R670="","",IF(R670&lt;=Q670,"Yes","No"))</f>
        <v/>
      </c>
      <c r="U670" s="22" t="str">
        <f aca="false">IF(B670="","",TEXT(YEAR(B670),"0"))</f>
        <v/>
      </c>
    </row>
    <row r="671" customFormat="false" ht="15" hidden="false" customHeight="false" outlineLevel="0" collapsed="false">
      <c r="B671" s="28"/>
      <c r="C671" s="24" t="str">
        <f aca="false">IF(B671="","",DATE(YEAR(B671),MONTH(B671),1))</f>
        <v/>
      </c>
      <c r="N671" s="26" t="str">
        <f aca="false">IF(L671="","",L671*M671)</f>
        <v/>
      </c>
      <c r="P671" s="26" t="str">
        <f aca="false">IF(L671="","",N671-L671*O671)</f>
        <v/>
      </c>
      <c r="T671" s="22" t="str">
        <f aca="false">IF(R671="","",IF(R671&lt;=Q671,"Yes","No"))</f>
        <v/>
      </c>
      <c r="U671" s="22" t="str">
        <f aca="false">IF(B671="","",TEXT(YEAR(B671),"0"))</f>
        <v/>
      </c>
    </row>
    <row r="672" customFormat="false" ht="15" hidden="false" customHeight="false" outlineLevel="0" collapsed="false">
      <c r="B672" s="28"/>
      <c r="C672" s="24" t="str">
        <f aca="false">IF(B672="","",DATE(YEAR(B672),MONTH(B672),1))</f>
        <v/>
      </c>
      <c r="N672" s="26" t="str">
        <f aca="false">IF(L672="","",L672*M672)</f>
        <v/>
      </c>
      <c r="P672" s="26" t="str">
        <f aca="false">IF(L672="","",N672-L672*O672)</f>
        <v/>
      </c>
      <c r="T672" s="22" t="str">
        <f aca="false">IF(R672="","",IF(R672&lt;=Q672,"Yes","No"))</f>
        <v/>
      </c>
      <c r="U672" s="22" t="str">
        <f aca="false">IF(B672="","",TEXT(YEAR(B672),"0"))</f>
        <v/>
      </c>
    </row>
    <row r="673" customFormat="false" ht="15" hidden="false" customHeight="false" outlineLevel="0" collapsed="false">
      <c r="B673" s="28"/>
      <c r="C673" s="24" t="str">
        <f aca="false">IF(B673="","",DATE(YEAR(B673),MONTH(B673),1))</f>
        <v/>
      </c>
      <c r="N673" s="26" t="str">
        <f aca="false">IF(L673="","",L673*M673)</f>
        <v/>
      </c>
      <c r="P673" s="26" t="str">
        <f aca="false">IF(L673="","",N673-L673*O673)</f>
        <v/>
      </c>
      <c r="T673" s="22" t="str">
        <f aca="false">IF(R673="","",IF(R673&lt;=Q673,"Yes","No"))</f>
        <v/>
      </c>
      <c r="U673" s="22" t="str">
        <f aca="false">IF(B673="","",TEXT(YEAR(B673),"0"))</f>
        <v/>
      </c>
    </row>
    <row r="674" customFormat="false" ht="15" hidden="false" customHeight="false" outlineLevel="0" collapsed="false">
      <c r="B674" s="28"/>
      <c r="C674" s="24" t="str">
        <f aca="false">IF(B674="","",DATE(YEAR(B674),MONTH(B674),1))</f>
        <v/>
      </c>
      <c r="N674" s="26" t="str">
        <f aca="false">IF(L674="","",L674*M674)</f>
        <v/>
      </c>
      <c r="P674" s="26" t="str">
        <f aca="false">IF(L674="","",N674-L674*O674)</f>
        <v/>
      </c>
      <c r="T674" s="22" t="str">
        <f aca="false">IF(R674="","",IF(R674&lt;=Q674,"Yes","No"))</f>
        <v/>
      </c>
      <c r="U674" s="22" t="str">
        <f aca="false">IF(B674="","",TEXT(YEAR(B674),"0"))</f>
        <v/>
      </c>
    </row>
    <row r="675" customFormat="false" ht="15" hidden="false" customHeight="false" outlineLevel="0" collapsed="false">
      <c r="B675" s="28"/>
      <c r="C675" s="24" t="str">
        <f aca="false">IF(B675="","",DATE(YEAR(B675),MONTH(B675),1))</f>
        <v/>
      </c>
      <c r="N675" s="26" t="str">
        <f aca="false">IF(L675="","",L675*M675)</f>
        <v/>
      </c>
      <c r="P675" s="26" t="str">
        <f aca="false">IF(L675="","",N675-L675*O675)</f>
        <v/>
      </c>
      <c r="T675" s="22" t="str">
        <f aca="false">IF(R675="","",IF(R675&lt;=Q675,"Yes","No"))</f>
        <v/>
      </c>
      <c r="U675" s="22" t="str">
        <f aca="false">IF(B675="","",TEXT(YEAR(B675),"0"))</f>
        <v/>
      </c>
    </row>
    <row r="676" customFormat="false" ht="15" hidden="false" customHeight="false" outlineLevel="0" collapsed="false">
      <c r="B676" s="28"/>
      <c r="C676" s="24" t="str">
        <f aca="false">IF(B676="","",DATE(YEAR(B676),MONTH(B676),1))</f>
        <v/>
      </c>
      <c r="N676" s="26" t="str">
        <f aca="false">IF(L676="","",L676*M676)</f>
        <v/>
      </c>
      <c r="P676" s="26" t="str">
        <f aca="false">IF(L676="","",N676-L676*O676)</f>
        <v/>
      </c>
      <c r="T676" s="22" t="str">
        <f aca="false">IF(R676="","",IF(R676&lt;=Q676,"Yes","No"))</f>
        <v/>
      </c>
      <c r="U676" s="22" t="str">
        <f aca="false">IF(B676="","",TEXT(YEAR(B676),"0"))</f>
        <v/>
      </c>
    </row>
    <row r="677" customFormat="false" ht="15" hidden="false" customHeight="false" outlineLevel="0" collapsed="false">
      <c r="B677" s="28"/>
      <c r="C677" s="24" t="str">
        <f aca="false">IF(B677="","",DATE(YEAR(B677),MONTH(B677),1))</f>
        <v/>
      </c>
      <c r="N677" s="26" t="str">
        <f aca="false">IF(L677="","",L677*M677)</f>
        <v/>
      </c>
      <c r="P677" s="26" t="str">
        <f aca="false">IF(L677="","",N677-L677*O677)</f>
        <v/>
      </c>
      <c r="T677" s="22" t="str">
        <f aca="false">IF(R677="","",IF(R677&lt;=Q677,"Yes","No"))</f>
        <v/>
      </c>
      <c r="U677" s="22" t="str">
        <f aca="false">IF(B677="","",TEXT(YEAR(B677),"0"))</f>
        <v/>
      </c>
    </row>
    <row r="678" customFormat="false" ht="15" hidden="false" customHeight="false" outlineLevel="0" collapsed="false">
      <c r="B678" s="28"/>
      <c r="C678" s="24" t="str">
        <f aca="false">IF(B678="","",DATE(YEAR(B678),MONTH(B678),1))</f>
        <v/>
      </c>
      <c r="N678" s="26" t="str">
        <f aca="false">IF(L678="","",L678*M678)</f>
        <v/>
      </c>
      <c r="P678" s="26" t="str">
        <f aca="false">IF(L678="","",N678-L678*O678)</f>
        <v/>
      </c>
      <c r="T678" s="22" t="str">
        <f aca="false">IF(R678="","",IF(R678&lt;=Q678,"Yes","No"))</f>
        <v/>
      </c>
      <c r="U678" s="22" t="str">
        <f aca="false">IF(B678="","",TEXT(YEAR(B678),"0"))</f>
        <v/>
      </c>
    </row>
    <row r="679" customFormat="false" ht="15" hidden="false" customHeight="false" outlineLevel="0" collapsed="false">
      <c r="B679" s="28"/>
      <c r="C679" s="24" t="str">
        <f aca="false">IF(B679="","",DATE(YEAR(B679),MONTH(B679),1))</f>
        <v/>
      </c>
      <c r="N679" s="26" t="str">
        <f aca="false">IF(L679="","",L679*M679)</f>
        <v/>
      </c>
      <c r="P679" s="26" t="str">
        <f aca="false">IF(L679="","",N679-L679*O679)</f>
        <v/>
      </c>
      <c r="T679" s="22" t="str">
        <f aca="false">IF(R679="","",IF(R679&lt;=Q679,"Yes","No"))</f>
        <v/>
      </c>
      <c r="U679" s="22" t="str">
        <f aca="false">IF(B679="","",TEXT(YEAR(B679),"0"))</f>
        <v/>
      </c>
    </row>
    <row r="680" customFormat="false" ht="15" hidden="false" customHeight="false" outlineLevel="0" collapsed="false">
      <c r="B680" s="28"/>
      <c r="C680" s="24" t="str">
        <f aca="false">IF(B680="","",DATE(YEAR(B680),MONTH(B680),1))</f>
        <v/>
      </c>
      <c r="N680" s="26" t="str">
        <f aca="false">IF(L680="","",L680*M680)</f>
        <v/>
      </c>
      <c r="P680" s="26" t="str">
        <f aca="false">IF(L680="","",N680-L680*O680)</f>
        <v/>
      </c>
      <c r="T680" s="22" t="str">
        <f aca="false">IF(R680="","",IF(R680&lt;=Q680,"Yes","No"))</f>
        <v/>
      </c>
      <c r="U680" s="22" t="str">
        <f aca="false">IF(B680="","",TEXT(YEAR(B680),"0"))</f>
        <v/>
      </c>
    </row>
    <row r="681" customFormat="false" ht="15" hidden="false" customHeight="false" outlineLevel="0" collapsed="false">
      <c r="B681" s="28"/>
      <c r="C681" s="24" t="str">
        <f aca="false">IF(B681="","",DATE(YEAR(B681),MONTH(B681),1))</f>
        <v/>
      </c>
      <c r="N681" s="26" t="str">
        <f aca="false">IF(L681="","",L681*M681)</f>
        <v/>
      </c>
      <c r="P681" s="26" t="str">
        <f aca="false">IF(L681="","",N681-L681*O681)</f>
        <v/>
      </c>
      <c r="T681" s="22" t="str">
        <f aca="false">IF(R681="","",IF(R681&lt;=Q681,"Yes","No"))</f>
        <v/>
      </c>
      <c r="U681" s="22" t="str">
        <f aca="false">IF(B681="","",TEXT(YEAR(B681),"0"))</f>
        <v/>
      </c>
    </row>
    <row r="682" customFormat="false" ht="15" hidden="false" customHeight="false" outlineLevel="0" collapsed="false">
      <c r="B682" s="28"/>
      <c r="C682" s="24" t="str">
        <f aca="false">IF(B682="","",DATE(YEAR(B682),MONTH(B682),1))</f>
        <v/>
      </c>
      <c r="N682" s="26" t="str">
        <f aca="false">IF(L682="","",L682*M682)</f>
        <v/>
      </c>
      <c r="P682" s="26" t="str">
        <f aca="false">IF(L682="","",N682-L682*O682)</f>
        <v/>
      </c>
      <c r="T682" s="22" t="str">
        <f aca="false">IF(R682="","",IF(R682&lt;=Q682,"Yes","No"))</f>
        <v/>
      </c>
      <c r="U682" s="22" t="str">
        <f aca="false">IF(B682="","",TEXT(YEAR(B682),"0"))</f>
        <v/>
      </c>
    </row>
    <row r="683" customFormat="false" ht="15" hidden="false" customHeight="false" outlineLevel="0" collapsed="false">
      <c r="B683" s="28"/>
      <c r="C683" s="24" t="str">
        <f aca="false">IF(B683="","",DATE(YEAR(B683),MONTH(B683),1))</f>
        <v/>
      </c>
      <c r="N683" s="26" t="str">
        <f aca="false">IF(L683="","",L683*M683)</f>
        <v/>
      </c>
      <c r="P683" s="26" t="str">
        <f aca="false">IF(L683="","",N683-L683*O683)</f>
        <v/>
      </c>
      <c r="T683" s="22" t="str">
        <f aca="false">IF(R683="","",IF(R683&lt;=Q683,"Yes","No"))</f>
        <v/>
      </c>
      <c r="U683" s="22" t="str">
        <f aca="false">IF(B683="","",TEXT(YEAR(B683),"0"))</f>
        <v/>
      </c>
    </row>
    <row r="684" customFormat="false" ht="15" hidden="false" customHeight="false" outlineLevel="0" collapsed="false">
      <c r="B684" s="28"/>
      <c r="C684" s="24" t="str">
        <f aca="false">IF(B684="","",DATE(YEAR(B684),MONTH(B684),1))</f>
        <v/>
      </c>
      <c r="N684" s="26" t="str">
        <f aca="false">IF(L684="","",L684*M684)</f>
        <v/>
      </c>
      <c r="P684" s="26" t="str">
        <f aca="false">IF(L684="","",N684-L684*O684)</f>
        <v/>
      </c>
      <c r="T684" s="22" t="str">
        <f aca="false">IF(R684="","",IF(R684&lt;=Q684,"Yes","No"))</f>
        <v/>
      </c>
      <c r="U684" s="22" t="str">
        <f aca="false">IF(B684="","",TEXT(YEAR(B684),"0"))</f>
        <v/>
      </c>
    </row>
    <row r="685" customFormat="false" ht="15" hidden="false" customHeight="false" outlineLevel="0" collapsed="false">
      <c r="B685" s="28"/>
      <c r="C685" s="24" t="str">
        <f aca="false">IF(B685="","",DATE(YEAR(B685),MONTH(B685),1))</f>
        <v/>
      </c>
      <c r="N685" s="26" t="str">
        <f aca="false">IF(L685="","",L685*M685)</f>
        <v/>
      </c>
      <c r="P685" s="26" t="str">
        <f aca="false">IF(L685="","",N685-L685*O685)</f>
        <v/>
      </c>
      <c r="T685" s="22" t="str">
        <f aca="false">IF(R685="","",IF(R685&lt;=Q685,"Yes","No"))</f>
        <v/>
      </c>
      <c r="U685" s="22" t="str">
        <f aca="false">IF(B685="","",TEXT(YEAR(B685),"0"))</f>
        <v/>
      </c>
    </row>
    <row r="686" customFormat="false" ht="15" hidden="false" customHeight="false" outlineLevel="0" collapsed="false">
      <c r="B686" s="28"/>
      <c r="C686" s="24" t="str">
        <f aca="false">IF(B686="","",DATE(YEAR(B686),MONTH(B686),1))</f>
        <v/>
      </c>
      <c r="N686" s="26" t="str">
        <f aca="false">IF(L686="","",L686*M686)</f>
        <v/>
      </c>
      <c r="P686" s="26" t="str">
        <f aca="false">IF(L686="","",N686-L686*O686)</f>
        <v/>
      </c>
      <c r="T686" s="22" t="str">
        <f aca="false">IF(R686="","",IF(R686&lt;=Q686,"Yes","No"))</f>
        <v/>
      </c>
      <c r="U686" s="22" t="str">
        <f aca="false">IF(B686="","",TEXT(YEAR(B686),"0"))</f>
        <v/>
      </c>
    </row>
    <row r="687" customFormat="false" ht="15" hidden="false" customHeight="false" outlineLevel="0" collapsed="false">
      <c r="B687" s="28"/>
      <c r="C687" s="24" t="str">
        <f aca="false">IF(B687="","",DATE(YEAR(B687),MONTH(B687),1))</f>
        <v/>
      </c>
      <c r="N687" s="26" t="str">
        <f aca="false">IF(L687="","",L687*M687)</f>
        <v/>
      </c>
      <c r="P687" s="26" t="str">
        <f aca="false">IF(L687="","",N687-L687*O687)</f>
        <v/>
      </c>
      <c r="T687" s="22" t="str">
        <f aca="false">IF(R687="","",IF(R687&lt;=Q687,"Yes","No"))</f>
        <v/>
      </c>
      <c r="U687" s="22" t="str">
        <f aca="false">IF(B687="","",TEXT(YEAR(B687),"0"))</f>
        <v/>
      </c>
    </row>
    <row r="688" customFormat="false" ht="15" hidden="false" customHeight="false" outlineLevel="0" collapsed="false">
      <c r="B688" s="28"/>
      <c r="C688" s="24" t="str">
        <f aca="false">IF(B688="","",DATE(YEAR(B688),MONTH(B688),1))</f>
        <v/>
      </c>
      <c r="N688" s="26" t="str">
        <f aca="false">IF(L688="","",L688*M688)</f>
        <v/>
      </c>
      <c r="P688" s="26" t="str">
        <f aca="false">IF(L688="","",N688-L688*O688)</f>
        <v/>
      </c>
      <c r="T688" s="22" t="str">
        <f aca="false">IF(R688="","",IF(R688&lt;=Q688,"Yes","No"))</f>
        <v/>
      </c>
      <c r="U688" s="22" t="str">
        <f aca="false">IF(B688="","",TEXT(YEAR(B688),"0"))</f>
        <v/>
      </c>
    </row>
    <row r="689" customFormat="false" ht="15" hidden="false" customHeight="false" outlineLevel="0" collapsed="false">
      <c r="B689" s="28"/>
      <c r="C689" s="24" t="str">
        <f aca="false">IF(B689="","",DATE(YEAR(B689),MONTH(B689),1))</f>
        <v/>
      </c>
      <c r="N689" s="26" t="str">
        <f aca="false">IF(L689="","",L689*M689)</f>
        <v/>
      </c>
      <c r="P689" s="26" t="str">
        <f aca="false">IF(L689="","",N689-L689*O689)</f>
        <v/>
      </c>
      <c r="T689" s="22" t="str">
        <f aca="false">IF(R689="","",IF(R689&lt;=Q689,"Yes","No"))</f>
        <v/>
      </c>
      <c r="U689" s="22" t="str">
        <f aca="false">IF(B689="","",TEXT(YEAR(B689),"0"))</f>
        <v/>
      </c>
    </row>
    <row r="690" customFormat="false" ht="15" hidden="false" customHeight="false" outlineLevel="0" collapsed="false">
      <c r="B690" s="28"/>
      <c r="C690" s="24" t="str">
        <f aca="false">IF(B690="","",DATE(YEAR(B690),MONTH(B690),1))</f>
        <v/>
      </c>
      <c r="N690" s="26" t="str">
        <f aca="false">IF(L690="","",L690*M690)</f>
        <v/>
      </c>
      <c r="P690" s="26" t="str">
        <f aca="false">IF(L690="","",N690-L690*O690)</f>
        <v/>
      </c>
      <c r="T690" s="22" t="str">
        <f aca="false">IF(R690="","",IF(R690&lt;=Q690,"Yes","No"))</f>
        <v/>
      </c>
      <c r="U690" s="22" t="str">
        <f aca="false">IF(B690="","",TEXT(YEAR(B690),"0"))</f>
        <v/>
      </c>
    </row>
    <row r="691" customFormat="false" ht="15" hidden="false" customHeight="false" outlineLevel="0" collapsed="false">
      <c r="B691" s="28"/>
      <c r="C691" s="24" t="str">
        <f aca="false">IF(B691="","",DATE(YEAR(B691),MONTH(B691),1))</f>
        <v/>
      </c>
      <c r="N691" s="26" t="str">
        <f aca="false">IF(L691="","",L691*M691)</f>
        <v/>
      </c>
      <c r="P691" s="26" t="str">
        <f aca="false">IF(L691="","",N691-L691*O691)</f>
        <v/>
      </c>
      <c r="T691" s="22" t="str">
        <f aca="false">IF(R691="","",IF(R691&lt;=Q691,"Yes","No"))</f>
        <v/>
      </c>
      <c r="U691" s="22" t="str">
        <f aca="false">IF(B691="","",TEXT(YEAR(B691),"0"))</f>
        <v/>
      </c>
    </row>
    <row r="692" customFormat="false" ht="15" hidden="false" customHeight="false" outlineLevel="0" collapsed="false">
      <c r="B692" s="28"/>
      <c r="C692" s="24" t="str">
        <f aca="false">IF(B692="","",DATE(YEAR(B692),MONTH(B692),1))</f>
        <v/>
      </c>
      <c r="N692" s="26" t="str">
        <f aca="false">IF(L692="","",L692*M692)</f>
        <v/>
      </c>
      <c r="P692" s="26" t="str">
        <f aca="false">IF(L692="","",N692-L692*O692)</f>
        <v/>
      </c>
      <c r="T692" s="22" t="str">
        <f aca="false">IF(R692="","",IF(R692&lt;=Q692,"Yes","No"))</f>
        <v/>
      </c>
      <c r="U692" s="22" t="str">
        <f aca="false">IF(B692="","",TEXT(YEAR(B692),"0"))</f>
        <v/>
      </c>
    </row>
    <row r="693" customFormat="false" ht="15" hidden="false" customHeight="false" outlineLevel="0" collapsed="false">
      <c r="B693" s="28"/>
      <c r="C693" s="24" t="str">
        <f aca="false">IF(B693="","",DATE(YEAR(B693),MONTH(B693),1))</f>
        <v/>
      </c>
      <c r="N693" s="26" t="str">
        <f aca="false">IF(L693="","",L693*M693)</f>
        <v/>
      </c>
      <c r="P693" s="26" t="str">
        <f aca="false">IF(L693="","",N693-L693*O693)</f>
        <v/>
      </c>
      <c r="T693" s="22" t="str">
        <f aca="false">IF(R693="","",IF(R693&lt;=Q693,"Yes","No"))</f>
        <v/>
      </c>
      <c r="U693" s="22" t="str">
        <f aca="false">IF(B693="","",TEXT(YEAR(B693),"0"))</f>
        <v/>
      </c>
    </row>
    <row r="694" customFormat="false" ht="15" hidden="false" customHeight="false" outlineLevel="0" collapsed="false">
      <c r="B694" s="28"/>
      <c r="C694" s="24" t="str">
        <f aca="false">IF(B694="","",DATE(YEAR(B694),MONTH(B694),1))</f>
        <v/>
      </c>
      <c r="N694" s="26" t="str">
        <f aca="false">IF(L694="","",L694*M694)</f>
        <v/>
      </c>
      <c r="P694" s="26" t="str">
        <f aca="false">IF(L694="","",N694-L694*O694)</f>
        <v/>
      </c>
      <c r="T694" s="22" t="str">
        <f aca="false">IF(R694="","",IF(R694&lt;=Q694,"Yes","No"))</f>
        <v/>
      </c>
      <c r="U694" s="22" t="str">
        <f aca="false">IF(B694="","",TEXT(YEAR(B694),"0"))</f>
        <v/>
      </c>
    </row>
    <row r="695" customFormat="false" ht="15" hidden="false" customHeight="false" outlineLevel="0" collapsed="false">
      <c r="B695" s="28"/>
      <c r="C695" s="24" t="str">
        <f aca="false">IF(B695="","",DATE(YEAR(B695),MONTH(B695),1))</f>
        <v/>
      </c>
      <c r="N695" s="26" t="str">
        <f aca="false">IF(L695="","",L695*M695)</f>
        <v/>
      </c>
      <c r="P695" s="26" t="str">
        <f aca="false">IF(L695="","",N695-L695*O695)</f>
        <v/>
      </c>
      <c r="T695" s="22" t="str">
        <f aca="false">IF(R695="","",IF(R695&lt;=Q695,"Yes","No"))</f>
        <v/>
      </c>
      <c r="U695" s="22" t="str">
        <f aca="false">IF(B695="","",TEXT(YEAR(B695),"0"))</f>
        <v/>
      </c>
    </row>
    <row r="696" customFormat="false" ht="15" hidden="false" customHeight="false" outlineLevel="0" collapsed="false">
      <c r="B696" s="28"/>
      <c r="C696" s="24" t="str">
        <f aca="false">IF(B696="","",DATE(YEAR(B696),MONTH(B696),1))</f>
        <v/>
      </c>
      <c r="N696" s="26" t="str">
        <f aca="false">IF(L696="","",L696*M696)</f>
        <v/>
      </c>
      <c r="P696" s="26" t="str">
        <f aca="false">IF(L696="","",N696-L696*O696)</f>
        <v/>
      </c>
      <c r="T696" s="22" t="str">
        <f aca="false">IF(R696="","",IF(R696&lt;=Q696,"Yes","No"))</f>
        <v/>
      </c>
      <c r="U696" s="22" t="str">
        <f aca="false">IF(B696="","",TEXT(YEAR(B696),"0"))</f>
        <v/>
      </c>
    </row>
    <row r="697" customFormat="false" ht="15" hidden="false" customHeight="false" outlineLevel="0" collapsed="false">
      <c r="B697" s="28"/>
      <c r="C697" s="24" t="str">
        <f aca="false">IF(B697="","",DATE(YEAR(B697),MONTH(B697),1))</f>
        <v/>
      </c>
      <c r="N697" s="26" t="str">
        <f aca="false">IF(L697="","",L697*M697)</f>
        <v/>
      </c>
      <c r="P697" s="26" t="str">
        <f aca="false">IF(L697="","",N697-L697*O697)</f>
        <v/>
      </c>
      <c r="T697" s="22" t="str">
        <f aca="false">IF(R697="","",IF(R697&lt;=Q697,"Yes","No"))</f>
        <v/>
      </c>
      <c r="U697" s="22" t="str">
        <f aca="false">IF(B697="","",TEXT(YEAR(B697),"0"))</f>
        <v/>
      </c>
    </row>
    <row r="698" customFormat="false" ht="15" hidden="false" customHeight="false" outlineLevel="0" collapsed="false">
      <c r="B698" s="28"/>
      <c r="C698" s="24" t="str">
        <f aca="false">IF(B698="","",DATE(YEAR(B698),MONTH(B698),1))</f>
        <v/>
      </c>
      <c r="N698" s="26" t="str">
        <f aca="false">IF(L698="","",L698*M698)</f>
        <v/>
      </c>
      <c r="P698" s="26" t="str">
        <f aca="false">IF(L698="","",N698-L698*O698)</f>
        <v/>
      </c>
      <c r="T698" s="22" t="str">
        <f aca="false">IF(R698="","",IF(R698&lt;=Q698,"Yes","No"))</f>
        <v/>
      </c>
      <c r="U698" s="22" t="str">
        <f aca="false">IF(B698="","",TEXT(YEAR(B698),"0"))</f>
        <v/>
      </c>
    </row>
    <row r="699" customFormat="false" ht="15" hidden="false" customHeight="false" outlineLevel="0" collapsed="false">
      <c r="B699" s="28"/>
      <c r="C699" s="24" t="str">
        <f aca="false">IF(B699="","",DATE(YEAR(B699),MONTH(B699),1))</f>
        <v/>
      </c>
      <c r="N699" s="26" t="str">
        <f aca="false">IF(L699="","",L699*M699)</f>
        <v/>
      </c>
      <c r="P699" s="26" t="str">
        <f aca="false">IF(L699="","",N699-L699*O699)</f>
        <v/>
      </c>
      <c r="T699" s="22" t="str">
        <f aca="false">IF(R699="","",IF(R699&lt;=Q699,"Yes","No"))</f>
        <v/>
      </c>
      <c r="U699" s="22" t="str">
        <f aca="false">IF(B699="","",TEXT(YEAR(B699),"0"))</f>
        <v/>
      </c>
    </row>
    <row r="700" customFormat="false" ht="15" hidden="false" customHeight="false" outlineLevel="0" collapsed="false">
      <c r="B700" s="28"/>
      <c r="C700" s="24" t="str">
        <f aca="false">IF(B700="","",DATE(YEAR(B700),MONTH(B700),1))</f>
        <v/>
      </c>
      <c r="N700" s="26" t="str">
        <f aca="false">IF(L700="","",L700*M700)</f>
        <v/>
      </c>
      <c r="P700" s="26" t="str">
        <f aca="false">IF(L700="","",N700-L700*O700)</f>
        <v/>
      </c>
      <c r="T700" s="22" t="str">
        <f aca="false">IF(R700="","",IF(R700&lt;=Q700,"Yes","No"))</f>
        <v/>
      </c>
      <c r="U700" s="22" t="str">
        <f aca="false">IF(B700="","",TEXT(YEAR(B700),"0"))</f>
        <v/>
      </c>
    </row>
    <row r="701" customFormat="false" ht="15" hidden="false" customHeight="false" outlineLevel="0" collapsed="false">
      <c r="B701" s="28"/>
      <c r="C701" s="24" t="str">
        <f aca="false">IF(B701="","",DATE(YEAR(B701),MONTH(B701),1))</f>
        <v/>
      </c>
      <c r="N701" s="26" t="str">
        <f aca="false">IF(L701="","",L701*M701)</f>
        <v/>
      </c>
      <c r="P701" s="26" t="str">
        <f aca="false">IF(L701="","",N701-L701*O701)</f>
        <v/>
      </c>
      <c r="T701" s="22" t="str">
        <f aca="false">IF(R701="","",IF(R701&lt;=Q701,"Yes","No"))</f>
        <v/>
      </c>
      <c r="U701" s="22" t="str">
        <f aca="false">IF(B701="","",TEXT(YEAR(B701),"0"))</f>
        <v/>
      </c>
    </row>
    <row r="702" customFormat="false" ht="15" hidden="false" customHeight="false" outlineLevel="0" collapsed="false">
      <c r="B702" s="28"/>
      <c r="C702" s="24" t="str">
        <f aca="false">IF(B702="","",DATE(YEAR(B702),MONTH(B702),1))</f>
        <v/>
      </c>
      <c r="N702" s="26" t="str">
        <f aca="false">IF(L702="","",L702*M702)</f>
        <v/>
      </c>
      <c r="P702" s="26" t="str">
        <f aca="false">IF(L702="","",N702-L702*O702)</f>
        <v/>
      </c>
      <c r="T702" s="22" t="str">
        <f aca="false">IF(R702="","",IF(R702&lt;=Q702,"Yes","No"))</f>
        <v/>
      </c>
      <c r="U702" s="22" t="str">
        <f aca="false">IF(B702="","",TEXT(YEAR(B702),"0"))</f>
        <v/>
      </c>
    </row>
    <row r="703" customFormat="false" ht="15" hidden="false" customHeight="false" outlineLevel="0" collapsed="false">
      <c r="B703" s="28"/>
      <c r="C703" s="24" t="str">
        <f aca="false">IF(B703="","",DATE(YEAR(B703),MONTH(B703),1))</f>
        <v/>
      </c>
      <c r="N703" s="26" t="str">
        <f aca="false">IF(L703="","",L703*M703)</f>
        <v/>
      </c>
      <c r="P703" s="26" t="str">
        <f aca="false">IF(L703="","",N703-L703*O703)</f>
        <v/>
      </c>
      <c r="T703" s="22" t="str">
        <f aca="false">IF(R703="","",IF(R703&lt;=Q703,"Yes","No"))</f>
        <v/>
      </c>
      <c r="U703" s="22" t="str">
        <f aca="false">IF(B703="","",TEXT(YEAR(B703),"0"))</f>
        <v/>
      </c>
    </row>
    <row r="704" customFormat="false" ht="15" hidden="false" customHeight="false" outlineLevel="0" collapsed="false">
      <c r="B704" s="28"/>
      <c r="C704" s="24" t="str">
        <f aca="false">IF(B704="","",DATE(YEAR(B704),MONTH(B704),1))</f>
        <v/>
      </c>
      <c r="N704" s="26" t="str">
        <f aca="false">IF(L704="","",L704*M704)</f>
        <v/>
      </c>
      <c r="P704" s="26" t="str">
        <f aca="false">IF(L704="","",N704-L704*O704)</f>
        <v/>
      </c>
      <c r="T704" s="22" t="str">
        <f aca="false">IF(R704="","",IF(R704&lt;=Q704,"Yes","No"))</f>
        <v/>
      </c>
      <c r="U704" s="22" t="str">
        <f aca="false">IF(B704="","",TEXT(YEAR(B704),"0"))</f>
        <v/>
      </c>
    </row>
    <row r="705" customFormat="false" ht="15" hidden="false" customHeight="false" outlineLevel="0" collapsed="false">
      <c r="B705" s="28"/>
      <c r="C705" s="24" t="str">
        <f aca="false">IF(B705="","",DATE(YEAR(B705),MONTH(B705),1))</f>
        <v/>
      </c>
      <c r="N705" s="26" t="str">
        <f aca="false">IF(L705="","",L705*M705)</f>
        <v/>
      </c>
      <c r="P705" s="26" t="str">
        <f aca="false">IF(L705="","",N705-L705*O705)</f>
        <v/>
      </c>
      <c r="T705" s="22" t="str">
        <f aca="false">IF(R705="","",IF(R705&lt;=Q705,"Yes","No"))</f>
        <v/>
      </c>
      <c r="U705" s="22" t="str">
        <f aca="false">IF(B705="","",TEXT(YEAR(B705),"0"))</f>
        <v/>
      </c>
    </row>
    <row r="706" customFormat="false" ht="15" hidden="false" customHeight="false" outlineLevel="0" collapsed="false">
      <c r="B706" s="28"/>
      <c r="C706" s="24" t="str">
        <f aca="false">IF(B706="","",DATE(YEAR(B706),MONTH(B706),1))</f>
        <v/>
      </c>
      <c r="N706" s="26" t="str">
        <f aca="false">IF(L706="","",L706*M706)</f>
        <v/>
      </c>
      <c r="P706" s="26" t="str">
        <f aca="false">IF(L706="","",N706-L706*O706)</f>
        <v/>
      </c>
      <c r="T706" s="22" t="str">
        <f aca="false">IF(R706="","",IF(R706&lt;=Q706,"Yes","No"))</f>
        <v/>
      </c>
      <c r="U706" s="22" t="str">
        <f aca="false">IF(B706="","",TEXT(YEAR(B706),"0"))</f>
        <v/>
      </c>
    </row>
    <row r="707" customFormat="false" ht="15" hidden="false" customHeight="false" outlineLevel="0" collapsed="false">
      <c r="B707" s="28"/>
      <c r="C707" s="24" t="str">
        <f aca="false">IF(B707="","",DATE(YEAR(B707),MONTH(B707),1))</f>
        <v/>
      </c>
      <c r="N707" s="26" t="str">
        <f aca="false">IF(L707="","",L707*M707)</f>
        <v/>
      </c>
      <c r="P707" s="26" t="str">
        <f aca="false">IF(L707="","",N707-L707*O707)</f>
        <v/>
      </c>
      <c r="T707" s="22" t="str">
        <f aca="false">IF(R707="","",IF(R707&lt;=Q707,"Yes","No"))</f>
        <v/>
      </c>
      <c r="U707" s="22" t="str">
        <f aca="false">IF(B707="","",TEXT(YEAR(B707),"0"))</f>
        <v/>
      </c>
    </row>
    <row r="708" customFormat="false" ht="15" hidden="false" customHeight="false" outlineLevel="0" collapsed="false">
      <c r="B708" s="28"/>
      <c r="C708" s="24" t="str">
        <f aca="false">IF(B708="","",DATE(YEAR(B708),MONTH(B708),1))</f>
        <v/>
      </c>
      <c r="N708" s="26" t="str">
        <f aca="false">IF(L708="","",L708*M708)</f>
        <v/>
      </c>
      <c r="P708" s="26" t="str">
        <f aca="false">IF(L708="","",N708-L708*O708)</f>
        <v/>
      </c>
      <c r="T708" s="22" t="str">
        <f aca="false">IF(R708="","",IF(R708&lt;=Q708,"Yes","No"))</f>
        <v/>
      </c>
      <c r="U708" s="22" t="str">
        <f aca="false">IF(B708="","",TEXT(YEAR(B708),"0"))</f>
        <v/>
      </c>
    </row>
    <row r="709" customFormat="false" ht="15" hidden="false" customHeight="false" outlineLevel="0" collapsed="false">
      <c r="B709" s="28"/>
      <c r="C709" s="24" t="str">
        <f aca="false">IF(B709="","",DATE(YEAR(B709),MONTH(B709),1))</f>
        <v/>
      </c>
      <c r="N709" s="26" t="str">
        <f aca="false">IF(L709="","",L709*M709)</f>
        <v/>
      </c>
      <c r="P709" s="26" t="str">
        <f aca="false">IF(L709="","",N709-L709*O709)</f>
        <v/>
      </c>
      <c r="T709" s="22" t="str">
        <f aca="false">IF(R709="","",IF(R709&lt;=Q709,"Yes","No"))</f>
        <v/>
      </c>
      <c r="U709" s="22" t="str">
        <f aca="false">IF(B709="","",TEXT(YEAR(B709),"0"))</f>
        <v/>
      </c>
    </row>
    <row r="710" customFormat="false" ht="15" hidden="false" customHeight="false" outlineLevel="0" collapsed="false">
      <c r="B710" s="28"/>
      <c r="C710" s="24" t="str">
        <f aca="false">IF(B710="","",DATE(YEAR(B710),MONTH(B710),1))</f>
        <v/>
      </c>
      <c r="N710" s="26" t="str">
        <f aca="false">IF(L710="","",L710*M710)</f>
        <v/>
      </c>
      <c r="P710" s="26" t="str">
        <f aca="false">IF(L710="","",N710-L710*O710)</f>
        <v/>
      </c>
      <c r="T710" s="22" t="str">
        <f aca="false">IF(R710="","",IF(R710&lt;=Q710,"Yes","No"))</f>
        <v/>
      </c>
      <c r="U710" s="22" t="str">
        <f aca="false">IF(B710="","",TEXT(YEAR(B710),"0"))</f>
        <v/>
      </c>
    </row>
    <row r="711" customFormat="false" ht="15" hidden="false" customHeight="false" outlineLevel="0" collapsed="false">
      <c r="B711" s="28"/>
      <c r="C711" s="24" t="str">
        <f aca="false">IF(B711="","",DATE(YEAR(B711),MONTH(B711),1))</f>
        <v/>
      </c>
      <c r="N711" s="26" t="str">
        <f aca="false">IF(L711="","",L711*M711)</f>
        <v/>
      </c>
      <c r="P711" s="26" t="str">
        <f aca="false">IF(L711="","",N711-L711*O711)</f>
        <v/>
      </c>
      <c r="T711" s="22" t="str">
        <f aca="false">IF(R711="","",IF(R711&lt;=Q711,"Yes","No"))</f>
        <v/>
      </c>
      <c r="U711" s="22" t="str">
        <f aca="false">IF(B711="","",TEXT(YEAR(B711),"0"))</f>
        <v/>
      </c>
    </row>
    <row r="712" customFormat="false" ht="15" hidden="false" customHeight="false" outlineLevel="0" collapsed="false">
      <c r="B712" s="28"/>
      <c r="C712" s="24" t="str">
        <f aca="false">IF(B712="","",DATE(YEAR(B712),MONTH(B712),1))</f>
        <v/>
      </c>
      <c r="N712" s="26" t="str">
        <f aca="false">IF(L712="","",L712*M712)</f>
        <v/>
      </c>
      <c r="P712" s="26" t="str">
        <f aca="false">IF(L712="","",N712-L712*O712)</f>
        <v/>
      </c>
      <c r="T712" s="22" t="str">
        <f aca="false">IF(R712="","",IF(R712&lt;=Q712,"Yes","No"))</f>
        <v/>
      </c>
      <c r="U712" s="22" t="str">
        <f aca="false">IF(B712="","",TEXT(YEAR(B712),"0"))</f>
        <v/>
      </c>
    </row>
    <row r="713" customFormat="false" ht="15" hidden="false" customHeight="false" outlineLevel="0" collapsed="false">
      <c r="B713" s="28"/>
      <c r="C713" s="24" t="str">
        <f aca="false">IF(B713="","",DATE(YEAR(B713),MONTH(B713),1))</f>
        <v/>
      </c>
      <c r="N713" s="26" t="str">
        <f aca="false">IF(L713="","",L713*M713)</f>
        <v/>
      </c>
      <c r="P713" s="26" t="str">
        <f aca="false">IF(L713="","",N713-L713*O713)</f>
        <v/>
      </c>
      <c r="T713" s="22" t="str">
        <f aca="false">IF(R713="","",IF(R713&lt;=Q713,"Yes","No"))</f>
        <v/>
      </c>
      <c r="U713" s="22" t="str">
        <f aca="false">IF(B713="","",TEXT(YEAR(B713),"0"))</f>
        <v/>
      </c>
    </row>
    <row r="714" customFormat="false" ht="15" hidden="false" customHeight="false" outlineLevel="0" collapsed="false">
      <c r="B714" s="28"/>
      <c r="C714" s="24" t="str">
        <f aca="false">IF(B714="","",DATE(YEAR(B714),MONTH(B714),1))</f>
        <v/>
      </c>
      <c r="N714" s="26" t="str">
        <f aca="false">IF(L714="","",L714*M714)</f>
        <v/>
      </c>
      <c r="P714" s="26" t="str">
        <f aca="false">IF(L714="","",N714-L714*O714)</f>
        <v/>
      </c>
      <c r="T714" s="22" t="str">
        <f aca="false">IF(R714="","",IF(R714&lt;=Q714,"Yes","No"))</f>
        <v/>
      </c>
      <c r="U714" s="22" t="str">
        <f aca="false">IF(B714="","",TEXT(YEAR(B714),"0"))</f>
        <v/>
      </c>
    </row>
    <row r="715" customFormat="false" ht="15" hidden="false" customHeight="false" outlineLevel="0" collapsed="false">
      <c r="B715" s="28"/>
      <c r="C715" s="24" t="str">
        <f aca="false">IF(B715="","",DATE(YEAR(B715),MONTH(B715),1))</f>
        <v/>
      </c>
      <c r="N715" s="26" t="str">
        <f aca="false">IF(L715="","",L715*M715)</f>
        <v/>
      </c>
      <c r="P715" s="26" t="str">
        <f aca="false">IF(L715="","",N715-L715*O715)</f>
        <v/>
      </c>
      <c r="T715" s="22" t="str">
        <f aca="false">IF(R715="","",IF(R715&lt;=Q715,"Yes","No"))</f>
        <v/>
      </c>
      <c r="U715" s="22" t="str">
        <f aca="false">IF(B715="","",TEXT(YEAR(B715),"0"))</f>
        <v/>
      </c>
    </row>
    <row r="716" customFormat="false" ht="15" hidden="false" customHeight="false" outlineLevel="0" collapsed="false">
      <c r="B716" s="28"/>
      <c r="C716" s="24" t="str">
        <f aca="false">IF(B716="","",DATE(YEAR(B716),MONTH(B716),1))</f>
        <v/>
      </c>
      <c r="N716" s="26" t="str">
        <f aca="false">IF(L716="","",L716*M716)</f>
        <v/>
      </c>
      <c r="P716" s="26" t="str">
        <f aca="false">IF(L716="","",N716-L716*O716)</f>
        <v/>
      </c>
      <c r="T716" s="22" t="str">
        <f aca="false">IF(R716="","",IF(R716&lt;=Q716,"Yes","No"))</f>
        <v/>
      </c>
      <c r="U716" s="22" t="str">
        <f aca="false">IF(B716="","",TEXT(YEAR(B716),"0"))</f>
        <v/>
      </c>
    </row>
    <row r="717" customFormat="false" ht="15" hidden="false" customHeight="false" outlineLevel="0" collapsed="false">
      <c r="B717" s="28"/>
      <c r="C717" s="24" t="str">
        <f aca="false">IF(B717="","",DATE(YEAR(B717),MONTH(B717),1))</f>
        <v/>
      </c>
      <c r="N717" s="26" t="str">
        <f aca="false">IF(L717="","",L717*M717)</f>
        <v/>
      </c>
      <c r="P717" s="26" t="str">
        <f aca="false">IF(L717="","",N717-L717*O717)</f>
        <v/>
      </c>
      <c r="T717" s="22" t="str">
        <f aca="false">IF(R717="","",IF(R717&lt;=Q717,"Yes","No"))</f>
        <v/>
      </c>
      <c r="U717" s="22" t="str">
        <f aca="false">IF(B717="","",TEXT(YEAR(B717),"0"))</f>
        <v/>
      </c>
    </row>
    <row r="718" customFormat="false" ht="15" hidden="false" customHeight="false" outlineLevel="0" collapsed="false">
      <c r="B718" s="28"/>
      <c r="C718" s="24" t="str">
        <f aca="false">IF(B718="","",DATE(YEAR(B718),MONTH(B718),1))</f>
        <v/>
      </c>
      <c r="N718" s="26" t="str">
        <f aca="false">IF(L718="","",L718*M718)</f>
        <v/>
      </c>
      <c r="P718" s="26" t="str">
        <f aca="false">IF(L718="","",N718-L718*O718)</f>
        <v/>
      </c>
      <c r="T718" s="22" t="str">
        <f aca="false">IF(R718="","",IF(R718&lt;=Q718,"Yes","No"))</f>
        <v/>
      </c>
      <c r="U718" s="22" t="str">
        <f aca="false">IF(B718="","",TEXT(YEAR(B718),"0"))</f>
        <v/>
      </c>
    </row>
    <row r="719" customFormat="false" ht="15" hidden="false" customHeight="false" outlineLevel="0" collapsed="false">
      <c r="B719" s="28"/>
      <c r="C719" s="24" t="str">
        <f aca="false">IF(B719="","",DATE(YEAR(B719),MONTH(B719),1))</f>
        <v/>
      </c>
      <c r="N719" s="26" t="str">
        <f aca="false">IF(L719="","",L719*M719)</f>
        <v/>
      </c>
      <c r="P719" s="26" t="str">
        <f aca="false">IF(L719="","",N719-L719*O719)</f>
        <v/>
      </c>
      <c r="T719" s="22" t="str">
        <f aca="false">IF(R719="","",IF(R719&lt;=Q719,"Yes","No"))</f>
        <v/>
      </c>
      <c r="U719" s="22" t="str">
        <f aca="false">IF(B719="","",TEXT(YEAR(B719),"0"))</f>
        <v/>
      </c>
    </row>
    <row r="720" customFormat="false" ht="15" hidden="false" customHeight="false" outlineLevel="0" collapsed="false">
      <c r="B720" s="28"/>
      <c r="C720" s="24" t="str">
        <f aca="false">IF(B720="","",DATE(YEAR(B720),MONTH(B720),1))</f>
        <v/>
      </c>
      <c r="N720" s="26" t="str">
        <f aca="false">IF(L720="","",L720*M720)</f>
        <v/>
      </c>
      <c r="P720" s="26" t="str">
        <f aca="false">IF(L720="","",N720-L720*O720)</f>
        <v/>
      </c>
      <c r="T720" s="22" t="str">
        <f aca="false">IF(R720="","",IF(R720&lt;=Q720,"Yes","No"))</f>
        <v/>
      </c>
      <c r="U720" s="22" t="str">
        <f aca="false">IF(B720="","",TEXT(YEAR(B720),"0"))</f>
        <v/>
      </c>
    </row>
    <row r="721" customFormat="false" ht="15" hidden="false" customHeight="false" outlineLevel="0" collapsed="false">
      <c r="B721" s="28"/>
      <c r="C721" s="24" t="str">
        <f aca="false">IF(B721="","",DATE(YEAR(B721),MONTH(B721),1))</f>
        <v/>
      </c>
      <c r="N721" s="26" t="str">
        <f aca="false">IF(L721="","",L721*M721)</f>
        <v/>
      </c>
      <c r="P721" s="26" t="str">
        <f aca="false">IF(L721="","",N721-L721*O721)</f>
        <v/>
      </c>
      <c r="T721" s="22" t="str">
        <f aca="false">IF(R721="","",IF(R721&lt;=Q721,"Yes","No"))</f>
        <v/>
      </c>
      <c r="U721" s="22" t="str">
        <f aca="false">IF(B721="","",TEXT(YEAR(B721),"0"))</f>
        <v/>
      </c>
    </row>
    <row r="722" customFormat="false" ht="15" hidden="false" customHeight="false" outlineLevel="0" collapsed="false">
      <c r="B722" s="28"/>
      <c r="C722" s="24" t="str">
        <f aca="false">IF(B722="","",DATE(YEAR(B722),MONTH(B722),1))</f>
        <v/>
      </c>
      <c r="N722" s="26" t="str">
        <f aca="false">IF(L722="","",L722*M722)</f>
        <v/>
      </c>
      <c r="P722" s="26" t="str">
        <f aca="false">IF(L722="","",N722-L722*O722)</f>
        <v/>
      </c>
      <c r="T722" s="22" t="str">
        <f aca="false">IF(R722="","",IF(R722&lt;=Q722,"Yes","No"))</f>
        <v/>
      </c>
      <c r="U722" s="22" t="str">
        <f aca="false">IF(B722="","",TEXT(YEAR(B722),"0"))</f>
        <v/>
      </c>
    </row>
    <row r="723" customFormat="false" ht="15" hidden="false" customHeight="false" outlineLevel="0" collapsed="false">
      <c r="B723" s="28"/>
      <c r="C723" s="24" t="str">
        <f aca="false">IF(B723="","",DATE(YEAR(B723),MONTH(B723),1))</f>
        <v/>
      </c>
      <c r="N723" s="26" t="str">
        <f aca="false">IF(L723="","",L723*M723)</f>
        <v/>
      </c>
      <c r="P723" s="26" t="str">
        <f aca="false">IF(L723="","",N723-L723*O723)</f>
        <v/>
      </c>
      <c r="T723" s="22" t="str">
        <f aca="false">IF(R723="","",IF(R723&lt;=Q723,"Yes","No"))</f>
        <v/>
      </c>
      <c r="U723" s="22" t="str">
        <f aca="false">IF(B723="","",TEXT(YEAR(B723),"0"))</f>
        <v/>
      </c>
    </row>
    <row r="724" customFormat="false" ht="15" hidden="false" customHeight="false" outlineLevel="0" collapsed="false">
      <c r="B724" s="28"/>
      <c r="C724" s="24" t="str">
        <f aca="false">IF(B724="","",DATE(YEAR(B724),MONTH(B724),1))</f>
        <v/>
      </c>
      <c r="N724" s="26" t="str">
        <f aca="false">IF(L724="","",L724*M724)</f>
        <v/>
      </c>
      <c r="P724" s="26" t="str">
        <f aca="false">IF(L724="","",N724-L724*O724)</f>
        <v/>
      </c>
      <c r="T724" s="22" t="str">
        <f aca="false">IF(R724="","",IF(R724&lt;=Q724,"Yes","No"))</f>
        <v/>
      </c>
      <c r="U724" s="22" t="str">
        <f aca="false">IF(B724="","",TEXT(YEAR(B724),"0"))</f>
        <v/>
      </c>
    </row>
    <row r="725" customFormat="false" ht="15" hidden="false" customHeight="false" outlineLevel="0" collapsed="false">
      <c r="B725" s="28"/>
      <c r="C725" s="24" t="str">
        <f aca="false">IF(B725="","",DATE(YEAR(B725),MONTH(B725),1))</f>
        <v/>
      </c>
      <c r="N725" s="26" t="str">
        <f aca="false">IF(L725="","",L725*M725)</f>
        <v/>
      </c>
      <c r="P725" s="26" t="str">
        <f aca="false">IF(L725="","",N725-L725*O725)</f>
        <v/>
      </c>
      <c r="T725" s="22" t="str">
        <f aca="false">IF(R725="","",IF(R725&lt;=Q725,"Yes","No"))</f>
        <v/>
      </c>
      <c r="U725" s="22" t="str">
        <f aca="false">IF(B725="","",TEXT(YEAR(B725),"0"))</f>
        <v/>
      </c>
    </row>
    <row r="726" customFormat="false" ht="15" hidden="false" customHeight="false" outlineLevel="0" collapsed="false">
      <c r="B726" s="28"/>
      <c r="C726" s="24" t="str">
        <f aca="false">IF(B726="","",DATE(YEAR(B726),MONTH(B726),1))</f>
        <v/>
      </c>
      <c r="N726" s="26" t="str">
        <f aca="false">IF(L726="","",L726*M726)</f>
        <v/>
      </c>
      <c r="P726" s="26" t="str">
        <f aca="false">IF(L726="","",N726-L726*O726)</f>
        <v/>
      </c>
      <c r="T726" s="22" t="str">
        <f aca="false">IF(R726="","",IF(R726&lt;=Q726,"Yes","No"))</f>
        <v/>
      </c>
      <c r="U726" s="22" t="str">
        <f aca="false">IF(B726="","",TEXT(YEAR(B726),"0"))</f>
        <v/>
      </c>
    </row>
    <row r="727" customFormat="false" ht="15" hidden="false" customHeight="false" outlineLevel="0" collapsed="false">
      <c r="B727" s="28"/>
      <c r="C727" s="24" t="str">
        <f aca="false">IF(B727="","",DATE(YEAR(B727),MONTH(B727),1))</f>
        <v/>
      </c>
      <c r="N727" s="26" t="str">
        <f aca="false">IF(L727="","",L727*M727)</f>
        <v/>
      </c>
      <c r="P727" s="26" t="str">
        <f aca="false">IF(L727="","",N727-L727*O727)</f>
        <v/>
      </c>
      <c r="T727" s="22" t="str">
        <f aca="false">IF(R727="","",IF(R727&lt;=Q727,"Yes","No"))</f>
        <v/>
      </c>
      <c r="U727" s="22" t="str">
        <f aca="false">IF(B727="","",TEXT(YEAR(B727),"0"))</f>
        <v/>
      </c>
    </row>
    <row r="728" customFormat="false" ht="15" hidden="false" customHeight="false" outlineLevel="0" collapsed="false">
      <c r="B728" s="28"/>
      <c r="C728" s="24" t="str">
        <f aca="false">IF(B728="","",DATE(YEAR(B728),MONTH(B728),1))</f>
        <v/>
      </c>
      <c r="N728" s="26" t="str">
        <f aca="false">IF(L728="","",L728*M728)</f>
        <v/>
      </c>
      <c r="P728" s="26" t="str">
        <f aca="false">IF(L728="","",N728-L728*O728)</f>
        <v/>
      </c>
      <c r="T728" s="22" t="str">
        <f aca="false">IF(R728="","",IF(R728&lt;=Q728,"Yes","No"))</f>
        <v/>
      </c>
      <c r="U728" s="22" t="str">
        <f aca="false">IF(B728="","",TEXT(YEAR(B728),"0"))</f>
        <v/>
      </c>
    </row>
    <row r="729" customFormat="false" ht="15" hidden="false" customHeight="false" outlineLevel="0" collapsed="false">
      <c r="B729" s="28"/>
      <c r="C729" s="24" t="str">
        <f aca="false">IF(B729="","",DATE(YEAR(B729),MONTH(B729),1))</f>
        <v/>
      </c>
      <c r="N729" s="26" t="str">
        <f aca="false">IF(L729="","",L729*M729)</f>
        <v/>
      </c>
      <c r="P729" s="26" t="str">
        <f aca="false">IF(L729="","",N729-L729*O729)</f>
        <v/>
      </c>
      <c r="T729" s="22" t="str">
        <f aca="false">IF(R729="","",IF(R729&lt;=Q729,"Yes","No"))</f>
        <v/>
      </c>
      <c r="U729" s="22" t="str">
        <f aca="false">IF(B729="","",TEXT(YEAR(B729),"0"))</f>
        <v/>
      </c>
    </row>
    <row r="730" customFormat="false" ht="15" hidden="false" customHeight="false" outlineLevel="0" collapsed="false">
      <c r="B730" s="28"/>
      <c r="C730" s="24" t="str">
        <f aca="false">IF(B730="","",DATE(YEAR(B730),MONTH(B730),1))</f>
        <v/>
      </c>
      <c r="N730" s="26" t="str">
        <f aca="false">IF(L730="","",L730*M730)</f>
        <v/>
      </c>
      <c r="P730" s="26" t="str">
        <f aca="false">IF(L730="","",N730-L730*O730)</f>
        <v/>
      </c>
      <c r="T730" s="22" t="str">
        <f aca="false">IF(R730="","",IF(R730&lt;=Q730,"Yes","No"))</f>
        <v/>
      </c>
      <c r="U730" s="22" t="str">
        <f aca="false">IF(B730="","",TEXT(YEAR(B730),"0"))</f>
        <v/>
      </c>
    </row>
    <row r="731" customFormat="false" ht="15" hidden="false" customHeight="false" outlineLevel="0" collapsed="false">
      <c r="B731" s="28"/>
      <c r="C731" s="24" t="str">
        <f aca="false">IF(B731="","",DATE(YEAR(B731),MONTH(B731),1))</f>
        <v/>
      </c>
      <c r="N731" s="26" t="str">
        <f aca="false">IF(L731="","",L731*M731)</f>
        <v/>
      </c>
      <c r="P731" s="26" t="str">
        <f aca="false">IF(L731="","",N731-L731*O731)</f>
        <v/>
      </c>
      <c r="T731" s="22" t="str">
        <f aca="false">IF(R731="","",IF(R731&lt;=Q731,"Yes","No"))</f>
        <v/>
      </c>
      <c r="U731" s="22" t="str">
        <f aca="false">IF(B731="","",TEXT(YEAR(B731),"0"))</f>
        <v/>
      </c>
    </row>
    <row r="732" customFormat="false" ht="15" hidden="false" customHeight="false" outlineLevel="0" collapsed="false">
      <c r="B732" s="28"/>
      <c r="C732" s="24" t="str">
        <f aca="false">IF(B732="","",DATE(YEAR(B732),MONTH(B732),1))</f>
        <v/>
      </c>
      <c r="N732" s="26" t="str">
        <f aca="false">IF(L732="","",L732*M732)</f>
        <v/>
      </c>
      <c r="P732" s="26" t="str">
        <f aca="false">IF(L732="","",N732-L732*O732)</f>
        <v/>
      </c>
      <c r="T732" s="22" t="str">
        <f aca="false">IF(R732="","",IF(R732&lt;=Q732,"Yes","No"))</f>
        <v/>
      </c>
      <c r="U732" s="22" t="str">
        <f aca="false">IF(B732="","",TEXT(YEAR(B732),"0"))</f>
        <v/>
      </c>
    </row>
    <row r="733" customFormat="false" ht="15" hidden="false" customHeight="false" outlineLevel="0" collapsed="false">
      <c r="B733" s="28"/>
      <c r="C733" s="24" t="str">
        <f aca="false">IF(B733="","",DATE(YEAR(B733),MONTH(B733),1))</f>
        <v/>
      </c>
      <c r="N733" s="26" t="str">
        <f aca="false">IF(L733="","",L733*M733)</f>
        <v/>
      </c>
      <c r="P733" s="26" t="str">
        <f aca="false">IF(L733="","",N733-L733*O733)</f>
        <v/>
      </c>
      <c r="T733" s="22" t="str">
        <f aca="false">IF(R733="","",IF(R733&lt;=Q733,"Yes","No"))</f>
        <v/>
      </c>
      <c r="U733" s="22" t="str">
        <f aca="false">IF(B733="","",TEXT(YEAR(B733),"0"))</f>
        <v/>
      </c>
    </row>
    <row r="734" customFormat="false" ht="15" hidden="false" customHeight="false" outlineLevel="0" collapsed="false">
      <c r="B734" s="28"/>
      <c r="C734" s="24" t="str">
        <f aca="false">IF(B734="","",DATE(YEAR(B734),MONTH(B734),1))</f>
        <v/>
      </c>
      <c r="N734" s="26" t="str">
        <f aca="false">IF(L734="","",L734*M734)</f>
        <v/>
      </c>
      <c r="P734" s="26" t="str">
        <f aca="false">IF(L734="","",N734-L734*O734)</f>
        <v/>
      </c>
      <c r="T734" s="22" t="str">
        <f aca="false">IF(R734="","",IF(R734&lt;=Q734,"Yes","No"))</f>
        <v/>
      </c>
      <c r="U734" s="22" t="str">
        <f aca="false">IF(B734="","",TEXT(YEAR(B734),"0"))</f>
        <v/>
      </c>
    </row>
    <row r="735" customFormat="false" ht="15" hidden="false" customHeight="false" outlineLevel="0" collapsed="false">
      <c r="B735" s="28"/>
      <c r="C735" s="24" t="str">
        <f aca="false">IF(B735="","",DATE(YEAR(B735),MONTH(B735),1))</f>
        <v/>
      </c>
      <c r="N735" s="26" t="str">
        <f aca="false">IF(L735="","",L735*M735)</f>
        <v/>
      </c>
      <c r="P735" s="26" t="str">
        <f aca="false">IF(L735="","",N735-L735*O735)</f>
        <v/>
      </c>
      <c r="T735" s="22" t="str">
        <f aca="false">IF(R735="","",IF(R735&lt;=Q735,"Yes","No"))</f>
        <v/>
      </c>
      <c r="U735" s="22" t="str">
        <f aca="false">IF(B735="","",TEXT(YEAR(B735),"0"))</f>
        <v/>
      </c>
    </row>
    <row r="736" customFormat="false" ht="15" hidden="false" customHeight="false" outlineLevel="0" collapsed="false">
      <c r="B736" s="28"/>
      <c r="C736" s="24" t="str">
        <f aca="false">IF(B736="","",DATE(YEAR(B736),MONTH(B736),1))</f>
        <v/>
      </c>
      <c r="N736" s="26" t="str">
        <f aca="false">IF(L736="","",L736*M736)</f>
        <v/>
      </c>
      <c r="P736" s="26" t="str">
        <f aca="false">IF(L736="","",N736-L736*O736)</f>
        <v/>
      </c>
      <c r="T736" s="22" t="str">
        <f aca="false">IF(R736="","",IF(R736&lt;=Q736,"Yes","No"))</f>
        <v/>
      </c>
      <c r="U736" s="22" t="str">
        <f aca="false">IF(B736="","",TEXT(YEAR(B736),"0"))</f>
        <v/>
      </c>
    </row>
    <row r="737" customFormat="false" ht="15" hidden="false" customHeight="false" outlineLevel="0" collapsed="false">
      <c r="B737" s="28"/>
      <c r="C737" s="24" t="str">
        <f aca="false">IF(B737="","",DATE(YEAR(B737),MONTH(B737),1))</f>
        <v/>
      </c>
      <c r="N737" s="26" t="str">
        <f aca="false">IF(L737="","",L737*M737)</f>
        <v/>
      </c>
      <c r="P737" s="26" t="str">
        <f aca="false">IF(L737="","",N737-L737*O737)</f>
        <v/>
      </c>
      <c r="T737" s="22" t="str">
        <f aca="false">IF(R737="","",IF(R737&lt;=Q737,"Yes","No"))</f>
        <v/>
      </c>
      <c r="U737" s="22" t="str">
        <f aca="false">IF(B737="","",TEXT(YEAR(B737),"0"))</f>
        <v/>
      </c>
    </row>
    <row r="738" customFormat="false" ht="15" hidden="false" customHeight="false" outlineLevel="0" collapsed="false">
      <c r="B738" s="28"/>
      <c r="C738" s="24" t="str">
        <f aca="false">IF(B738="","",DATE(YEAR(B738),MONTH(B738),1))</f>
        <v/>
      </c>
      <c r="N738" s="26" t="str">
        <f aca="false">IF(L738="","",L738*M738)</f>
        <v/>
      </c>
      <c r="P738" s="26" t="str">
        <f aca="false">IF(L738="","",N738-L738*O738)</f>
        <v/>
      </c>
      <c r="T738" s="22" t="str">
        <f aca="false">IF(R738="","",IF(R738&lt;=Q738,"Yes","No"))</f>
        <v/>
      </c>
      <c r="U738" s="22" t="str">
        <f aca="false">IF(B738="","",TEXT(YEAR(B738),"0"))</f>
        <v/>
      </c>
    </row>
    <row r="739" customFormat="false" ht="15" hidden="false" customHeight="false" outlineLevel="0" collapsed="false">
      <c r="B739" s="28"/>
      <c r="C739" s="24" t="str">
        <f aca="false">IF(B739="","",DATE(YEAR(B739),MONTH(B739),1))</f>
        <v/>
      </c>
      <c r="N739" s="26" t="str">
        <f aca="false">IF(L739="","",L739*M739)</f>
        <v/>
      </c>
      <c r="P739" s="26" t="str">
        <f aca="false">IF(L739="","",N739-L739*O739)</f>
        <v/>
      </c>
      <c r="T739" s="22" t="str">
        <f aca="false">IF(R739="","",IF(R739&lt;=Q739,"Yes","No"))</f>
        <v/>
      </c>
      <c r="U739" s="22" t="str">
        <f aca="false">IF(B739="","",TEXT(YEAR(B739),"0"))</f>
        <v/>
      </c>
    </row>
    <row r="740" customFormat="false" ht="15" hidden="false" customHeight="false" outlineLevel="0" collapsed="false">
      <c r="B740" s="28"/>
      <c r="C740" s="24" t="str">
        <f aca="false">IF(B740="","",DATE(YEAR(B740),MONTH(B740),1))</f>
        <v/>
      </c>
      <c r="N740" s="26" t="str">
        <f aca="false">IF(L740="","",L740*M740)</f>
        <v/>
      </c>
      <c r="P740" s="26" t="str">
        <f aca="false">IF(L740="","",N740-L740*O740)</f>
        <v/>
      </c>
      <c r="T740" s="22" t="str">
        <f aca="false">IF(R740="","",IF(R740&lt;=Q740,"Yes","No"))</f>
        <v/>
      </c>
      <c r="U740" s="22" t="str">
        <f aca="false">IF(B740="","",TEXT(YEAR(B740),"0"))</f>
        <v/>
      </c>
    </row>
    <row r="741" customFormat="false" ht="15" hidden="false" customHeight="false" outlineLevel="0" collapsed="false">
      <c r="B741" s="28"/>
      <c r="C741" s="24" t="str">
        <f aca="false">IF(B741="","",DATE(YEAR(B741),MONTH(B741),1))</f>
        <v/>
      </c>
      <c r="N741" s="26" t="str">
        <f aca="false">IF(L741="","",L741*M741)</f>
        <v/>
      </c>
      <c r="P741" s="26" t="str">
        <f aca="false">IF(L741="","",N741-L741*O741)</f>
        <v/>
      </c>
      <c r="T741" s="22" t="str">
        <f aca="false">IF(R741="","",IF(R741&lt;=Q741,"Yes","No"))</f>
        <v/>
      </c>
      <c r="U741" s="22" t="str">
        <f aca="false">IF(B741="","",TEXT(YEAR(B741),"0"))</f>
        <v/>
      </c>
    </row>
    <row r="742" customFormat="false" ht="15" hidden="false" customHeight="false" outlineLevel="0" collapsed="false">
      <c r="B742" s="28"/>
      <c r="C742" s="24" t="str">
        <f aca="false">IF(B742="","",DATE(YEAR(B742),MONTH(B742),1))</f>
        <v/>
      </c>
      <c r="N742" s="26" t="str">
        <f aca="false">IF(L742="","",L742*M742)</f>
        <v/>
      </c>
      <c r="P742" s="26" t="str">
        <f aca="false">IF(L742="","",N742-L742*O742)</f>
        <v/>
      </c>
      <c r="T742" s="22" t="str">
        <f aca="false">IF(R742="","",IF(R742&lt;=Q742,"Yes","No"))</f>
        <v/>
      </c>
      <c r="U742" s="22" t="str">
        <f aca="false">IF(B742="","",TEXT(YEAR(B742),"0"))</f>
        <v/>
      </c>
    </row>
    <row r="743" customFormat="false" ht="15" hidden="false" customHeight="false" outlineLevel="0" collapsed="false">
      <c r="B743" s="28"/>
      <c r="C743" s="24" t="str">
        <f aca="false">IF(B743="","",DATE(YEAR(B743),MONTH(B743),1))</f>
        <v/>
      </c>
      <c r="N743" s="26" t="str">
        <f aca="false">IF(L743="","",L743*M743)</f>
        <v/>
      </c>
      <c r="P743" s="26" t="str">
        <f aca="false">IF(L743="","",N743-L743*O743)</f>
        <v/>
      </c>
      <c r="T743" s="22" t="str">
        <f aca="false">IF(R743="","",IF(R743&lt;=Q743,"Yes","No"))</f>
        <v/>
      </c>
      <c r="U743" s="22" t="str">
        <f aca="false">IF(B743="","",TEXT(YEAR(B743),"0"))</f>
        <v/>
      </c>
    </row>
    <row r="744" customFormat="false" ht="15" hidden="false" customHeight="false" outlineLevel="0" collapsed="false">
      <c r="B744" s="28"/>
      <c r="C744" s="24" t="str">
        <f aca="false">IF(B744="","",DATE(YEAR(B744),MONTH(B744),1))</f>
        <v/>
      </c>
      <c r="N744" s="26" t="str">
        <f aca="false">IF(L744="","",L744*M744)</f>
        <v/>
      </c>
      <c r="P744" s="26" t="str">
        <f aca="false">IF(L744="","",N744-L744*O744)</f>
        <v/>
      </c>
      <c r="T744" s="22" t="str">
        <f aca="false">IF(R744="","",IF(R744&lt;=Q744,"Yes","No"))</f>
        <v/>
      </c>
      <c r="U744" s="22" t="str">
        <f aca="false">IF(B744="","",TEXT(YEAR(B744),"0"))</f>
        <v/>
      </c>
    </row>
    <row r="745" customFormat="false" ht="15" hidden="false" customHeight="false" outlineLevel="0" collapsed="false">
      <c r="B745" s="28"/>
      <c r="C745" s="24" t="str">
        <f aca="false">IF(B745="","",DATE(YEAR(B745),MONTH(B745),1))</f>
        <v/>
      </c>
      <c r="N745" s="26" t="str">
        <f aca="false">IF(L745="","",L745*M745)</f>
        <v/>
      </c>
      <c r="P745" s="26" t="str">
        <f aca="false">IF(L745="","",N745-L745*O745)</f>
        <v/>
      </c>
      <c r="T745" s="22" t="str">
        <f aca="false">IF(R745="","",IF(R745&lt;=Q745,"Yes","No"))</f>
        <v/>
      </c>
      <c r="U745" s="22" t="str">
        <f aca="false">IF(B745="","",TEXT(YEAR(B745),"0"))</f>
        <v/>
      </c>
    </row>
    <row r="746" customFormat="false" ht="15" hidden="false" customHeight="false" outlineLevel="0" collapsed="false">
      <c r="B746" s="28"/>
      <c r="C746" s="24" t="str">
        <f aca="false">IF(B746="","",DATE(YEAR(B746),MONTH(B746),1))</f>
        <v/>
      </c>
      <c r="N746" s="26" t="str">
        <f aca="false">IF(L746="","",L746*M746)</f>
        <v/>
      </c>
      <c r="P746" s="26" t="str">
        <f aca="false">IF(L746="","",N746-L746*O746)</f>
        <v/>
      </c>
      <c r="T746" s="22" t="str">
        <f aca="false">IF(R746="","",IF(R746&lt;=Q746,"Yes","No"))</f>
        <v/>
      </c>
      <c r="U746" s="22" t="str">
        <f aca="false">IF(B746="","",TEXT(YEAR(B746),"0"))</f>
        <v/>
      </c>
    </row>
    <row r="747" customFormat="false" ht="15" hidden="false" customHeight="false" outlineLevel="0" collapsed="false">
      <c r="B747" s="28"/>
      <c r="C747" s="24" t="str">
        <f aca="false">IF(B747="","",DATE(YEAR(B747),MONTH(B747),1))</f>
        <v/>
      </c>
      <c r="N747" s="26" t="str">
        <f aca="false">IF(L747="","",L747*M747)</f>
        <v/>
      </c>
      <c r="P747" s="26" t="str">
        <f aca="false">IF(L747="","",N747-L747*O747)</f>
        <v/>
      </c>
      <c r="T747" s="22" t="str">
        <f aca="false">IF(R747="","",IF(R747&lt;=Q747,"Yes","No"))</f>
        <v/>
      </c>
      <c r="U747" s="22" t="str">
        <f aca="false">IF(B747="","",TEXT(YEAR(B747),"0"))</f>
        <v/>
      </c>
    </row>
    <row r="748" customFormat="false" ht="15" hidden="false" customHeight="false" outlineLevel="0" collapsed="false">
      <c r="B748" s="28"/>
      <c r="C748" s="24" t="str">
        <f aca="false">IF(B748="","",DATE(YEAR(B748),MONTH(B748),1))</f>
        <v/>
      </c>
      <c r="N748" s="26" t="str">
        <f aca="false">IF(L748="","",L748*M748)</f>
        <v/>
      </c>
      <c r="P748" s="26" t="str">
        <f aca="false">IF(L748="","",N748-L748*O748)</f>
        <v/>
      </c>
      <c r="T748" s="22" t="str">
        <f aca="false">IF(R748="","",IF(R748&lt;=Q748,"Yes","No"))</f>
        <v/>
      </c>
      <c r="U748" s="22" t="str">
        <f aca="false">IF(B748="","",TEXT(YEAR(B748),"0"))</f>
        <v/>
      </c>
    </row>
    <row r="749" customFormat="false" ht="15" hidden="false" customHeight="false" outlineLevel="0" collapsed="false">
      <c r="B749" s="28"/>
      <c r="C749" s="24" t="str">
        <f aca="false">IF(B749="","",DATE(YEAR(B749),MONTH(B749),1))</f>
        <v/>
      </c>
      <c r="N749" s="26" t="str">
        <f aca="false">IF(L749="","",L749*M749)</f>
        <v/>
      </c>
      <c r="P749" s="26" t="str">
        <f aca="false">IF(L749="","",N749-L749*O749)</f>
        <v/>
      </c>
      <c r="T749" s="22" t="str">
        <f aca="false">IF(R749="","",IF(R749&lt;=Q749,"Yes","No"))</f>
        <v/>
      </c>
      <c r="U749" s="22" t="str">
        <f aca="false">IF(B749="","",TEXT(YEAR(B749),"0"))</f>
        <v/>
      </c>
    </row>
    <row r="750" customFormat="false" ht="15" hidden="false" customHeight="false" outlineLevel="0" collapsed="false">
      <c r="B750" s="28"/>
      <c r="C750" s="24" t="str">
        <f aca="false">IF(B750="","",DATE(YEAR(B750),MONTH(B750),1))</f>
        <v/>
      </c>
      <c r="N750" s="26" t="str">
        <f aca="false">IF(L750="","",L750*M750)</f>
        <v/>
      </c>
      <c r="P750" s="26" t="str">
        <f aca="false">IF(L750="","",N750-L750*O750)</f>
        <v/>
      </c>
      <c r="T750" s="22" t="str">
        <f aca="false">IF(R750="","",IF(R750&lt;=Q750,"Yes","No"))</f>
        <v/>
      </c>
      <c r="U750" s="22" t="str">
        <f aca="false">IF(B750="","",TEXT(YEAR(B750),"0"))</f>
        <v/>
      </c>
    </row>
    <row r="751" customFormat="false" ht="15" hidden="false" customHeight="false" outlineLevel="0" collapsed="false">
      <c r="B751" s="28"/>
      <c r="C751" s="24" t="str">
        <f aca="false">IF(B751="","",DATE(YEAR(B751),MONTH(B751),1))</f>
        <v/>
      </c>
      <c r="N751" s="26" t="str">
        <f aca="false">IF(L751="","",L751*M751)</f>
        <v/>
      </c>
      <c r="P751" s="26" t="str">
        <f aca="false">IF(L751="","",N751-L751*O751)</f>
        <v/>
      </c>
      <c r="T751" s="22" t="str">
        <f aca="false">IF(R751="","",IF(R751&lt;=Q751,"Yes","No"))</f>
        <v/>
      </c>
      <c r="U751" s="22" t="str">
        <f aca="false">IF(B751="","",TEXT(YEAR(B751),"0"))</f>
        <v/>
      </c>
    </row>
    <row r="752" customFormat="false" ht="15" hidden="false" customHeight="false" outlineLevel="0" collapsed="false">
      <c r="B752" s="28"/>
      <c r="C752" s="24" t="str">
        <f aca="false">IF(B752="","",DATE(YEAR(B752),MONTH(B752),1))</f>
        <v/>
      </c>
      <c r="N752" s="26" t="str">
        <f aca="false">IF(L752="","",L752*M752)</f>
        <v/>
      </c>
      <c r="P752" s="26" t="str">
        <f aca="false">IF(L752="","",N752-L752*O752)</f>
        <v/>
      </c>
      <c r="T752" s="22" t="str">
        <f aca="false">IF(R752="","",IF(R752&lt;=Q752,"Yes","No"))</f>
        <v/>
      </c>
      <c r="U752" s="22" t="str">
        <f aca="false">IF(B752="","",TEXT(YEAR(B752),"0"))</f>
        <v/>
      </c>
    </row>
    <row r="753" customFormat="false" ht="15" hidden="false" customHeight="false" outlineLevel="0" collapsed="false">
      <c r="B753" s="28"/>
      <c r="C753" s="24" t="str">
        <f aca="false">IF(B753="","",DATE(YEAR(B753),MONTH(B753),1))</f>
        <v/>
      </c>
      <c r="N753" s="26" t="str">
        <f aca="false">IF(L753="","",L753*M753)</f>
        <v/>
      </c>
      <c r="P753" s="26" t="str">
        <f aca="false">IF(L753="","",N753-L753*O753)</f>
        <v/>
      </c>
      <c r="T753" s="22" t="str">
        <f aca="false">IF(R753="","",IF(R753&lt;=Q753,"Yes","No"))</f>
        <v/>
      </c>
      <c r="U753" s="22" t="str">
        <f aca="false">IF(B753="","",TEXT(YEAR(B753),"0"))</f>
        <v/>
      </c>
    </row>
    <row r="754" customFormat="false" ht="15" hidden="false" customHeight="false" outlineLevel="0" collapsed="false">
      <c r="B754" s="28"/>
      <c r="C754" s="24" t="str">
        <f aca="false">IF(B754="","",DATE(YEAR(B754),MONTH(B754),1))</f>
        <v/>
      </c>
      <c r="N754" s="26" t="str">
        <f aca="false">IF(L754="","",L754*M754)</f>
        <v/>
      </c>
      <c r="P754" s="26" t="str">
        <f aca="false">IF(L754="","",N754-L754*O754)</f>
        <v/>
      </c>
      <c r="T754" s="22" t="str">
        <f aca="false">IF(R754="","",IF(R754&lt;=Q754,"Yes","No"))</f>
        <v/>
      </c>
      <c r="U754" s="22" t="str">
        <f aca="false">IF(B754="","",TEXT(YEAR(B754),"0"))</f>
        <v/>
      </c>
    </row>
    <row r="755" customFormat="false" ht="15" hidden="false" customHeight="false" outlineLevel="0" collapsed="false">
      <c r="B755" s="28"/>
      <c r="C755" s="24" t="str">
        <f aca="false">IF(B755="","",DATE(YEAR(B755),MONTH(B755),1))</f>
        <v/>
      </c>
      <c r="N755" s="26" t="str">
        <f aca="false">IF(L755="","",L755*M755)</f>
        <v/>
      </c>
      <c r="P755" s="26" t="str">
        <f aca="false">IF(L755="","",N755-L755*O755)</f>
        <v/>
      </c>
      <c r="T755" s="22" t="str">
        <f aca="false">IF(R755="","",IF(R755&lt;=Q755,"Yes","No"))</f>
        <v/>
      </c>
      <c r="U755" s="22" t="str">
        <f aca="false">IF(B755="","",TEXT(YEAR(B755),"0"))</f>
        <v/>
      </c>
    </row>
    <row r="756" customFormat="false" ht="15" hidden="false" customHeight="false" outlineLevel="0" collapsed="false">
      <c r="B756" s="28"/>
      <c r="C756" s="24" t="str">
        <f aca="false">IF(B756="","",DATE(YEAR(B756),MONTH(B756),1))</f>
        <v/>
      </c>
      <c r="N756" s="26" t="str">
        <f aca="false">IF(L756="","",L756*M756)</f>
        <v/>
      </c>
      <c r="P756" s="26" t="str">
        <f aca="false">IF(L756="","",N756-L756*O756)</f>
        <v/>
      </c>
      <c r="T756" s="22" t="str">
        <f aca="false">IF(R756="","",IF(R756&lt;=Q756,"Yes","No"))</f>
        <v/>
      </c>
      <c r="U756" s="22" t="str">
        <f aca="false">IF(B756="","",TEXT(YEAR(B756),"0"))</f>
        <v/>
      </c>
    </row>
    <row r="757" customFormat="false" ht="15" hidden="false" customHeight="false" outlineLevel="0" collapsed="false">
      <c r="B757" s="28"/>
      <c r="C757" s="24" t="str">
        <f aca="false">IF(B757="","",DATE(YEAR(B757),MONTH(B757),1))</f>
        <v/>
      </c>
      <c r="N757" s="26" t="str">
        <f aca="false">IF(L757="","",L757*M757)</f>
        <v/>
      </c>
      <c r="P757" s="26" t="str">
        <f aca="false">IF(L757="","",N757-L757*O757)</f>
        <v/>
      </c>
      <c r="T757" s="22" t="str">
        <f aca="false">IF(R757="","",IF(R757&lt;=Q757,"Yes","No"))</f>
        <v/>
      </c>
      <c r="U757" s="22" t="str">
        <f aca="false">IF(B757="","",TEXT(YEAR(B757),"0"))</f>
        <v/>
      </c>
    </row>
    <row r="758" customFormat="false" ht="15" hidden="false" customHeight="false" outlineLevel="0" collapsed="false">
      <c r="B758" s="28"/>
      <c r="C758" s="24" t="str">
        <f aca="false">IF(B758="","",DATE(YEAR(B758),MONTH(B758),1))</f>
        <v/>
      </c>
      <c r="N758" s="26" t="str">
        <f aca="false">IF(L758="","",L758*M758)</f>
        <v/>
      </c>
      <c r="P758" s="26" t="str">
        <f aca="false">IF(L758="","",N758-L758*O758)</f>
        <v/>
      </c>
      <c r="T758" s="22" t="str">
        <f aca="false">IF(R758="","",IF(R758&lt;=Q758,"Yes","No"))</f>
        <v/>
      </c>
      <c r="U758" s="22" t="str">
        <f aca="false">IF(B758="","",TEXT(YEAR(B758),"0"))</f>
        <v/>
      </c>
    </row>
    <row r="759" customFormat="false" ht="15" hidden="false" customHeight="false" outlineLevel="0" collapsed="false">
      <c r="B759" s="28"/>
      <c r="C759" s="24" t="str">
        <f aca="false">IF(B759="","",DATE(YEAR(B759),MONTH(B759),1))</f>
        <v/>
      </c>
      <c r="N759" s="26" t="str">
        <f aca="false">IF(L759="","",L759*M759)</f>
        <v/>
      </c>
      <c r="P759" s="26" t="str">
        <f aca="false">IF(L759="","",N759-L759*O759)</f>
        <v/>
      </c>
      <c r="T759" s="22" t="str">
        <f aca="false">IF(R759="","",IF(R759&lt;=Q759,"Yes","No"))</f>
        <v/>
      </c>
      <c r="U759" s="22" t="str">
        <f aca="false">IF(B759="","",TEXT(YEAR(B759),"0"))</f>
        <v/>
      </c>
    </row>
    <row r="760" customFormat="false" ht="15" hidden="false" customHeight="false" outlineLevel="0" collapsed="false">
      <c r="B760" s="28"/>
      <c r="C760" s="24" t="str">
        <f aca="false">IF(B760="","",DATE(YEAR(B760),MONTH(B760),1))</f>
        <v/>
      </c>
      <c r="N760" s="26" t="str">
        <f aca="false">IF(L760="","",L760*M760)</f>
        <v/>
      </c>
      <c r="P760" s="26" t="str">
        <f aca="false">IF(L760="","",N760-L760*O760)</f>
        <v/>
      </c>
      <c r="T760" s="22" t="str">
        <f aca="false">IF(R760="","",IF(R760&lt;=Q760,"Yes","No"))</f>
        <v/>
      </c>
      <c r="U760" s="22" t="str">
        <f aca="false">IF(B760="","",TEXT(YEAR(B760),"0"))</f>
        <v/>
      </c>
    </row>
    <row r="761" customFormat="false" ht="15" hidden="false" customHeight="false" outlineLevel="0" collapsed="false">
      <c r="B761" s="28"/>
      <c r="C761" s="24" t="str">
        <f aca="false">IF(B761="","",DATE(YEAR(B761),MONTH(B761),1))</f>
        <v/>
      </c>
      <c r="N761" s="26" t="str">
        <f aca="false">IF(L761="","",L761*M761)</f>
        <v/>
      </c>
      <c r="P761" s="26" t="str">
        <f aca="false">IF(L761="","",N761-L761*O761)</f>
        <v/>
      </c>
      <c r="T761" s="22" t="str">
        <f aca="false">IF(R761="","",IF(R761&lt;=Q761,"Yes","No"))</f>
        <v/>
      </c>
      <c r="U761" s="22" t="str">
        <f aca="false">IF(B761="","",TEXT(YEAR(B761),"0"))</f>
        <v/>
      </c>
    </row>
    <row r="762" customFormat="false" ht="15" hidden="false" customHeight="false" outlineLevel="0" collapsed="false">
      <c r="B762" s="28"/>
      <c r="C762" s="24" t="str">
        <f aca="false">IF(B762="","",DATE(YEAR(B762),MONTH(B762),1))</f>
        <v/>
      </c>
      <c r="N762" s="26" t="str">
        <f aca="false">IF(L762="","",L762*M762)</f>
        <v/>
      </c>
      <c r="P762" s="26" t="str">
        <f aca="false">IF(L762="","",N762-L762*O762)</f>
        <v/>
      </c>
      <c r="T762" s="22" t="str">
        <f aca="false">IF(R762="","",IF(R762&lt;=Q762,"Yes","No"))</f>
        <v/>
      </c>
      <c r="U762" s="22" t="str">
        <f aca="false">IF(B762="","",TEXT(YEAR(B762),"0"))</f>
        <v/>
      </c>
    </row>
    <row r="763" customFormat="false" ht="15" hidden="false" customHeight="false" outlineLevel="0" collapsed="false">
      <c r="B763" s="28"/>
      <c r="C763" s="24" t="str">
        <f aca="false">IF(B763="","",DATE(YEAR(B763),MONTH(B763),1))</f>
        <v/>
      </c>
      <c r="N763" s="26" t="str">
        <f aca="false">IF(L763="","",L763*M763)</f>
        <v/>
      </c>
      <c r="P763" s="26" t="str">
        <f aca="false">IF(L763="","",N763-L763*O763)</f>
        <v/>
      </c>
      <c r="T763" s="22" t="str">
        <f aca="false">IF(R763="","",IF(R763&lt;=Q763,"Yes","No"))</f>
        <v/>
      </c>
      <c r="U763" s="22" t="str">
        <f aca="false">IF(B763="","",TEXT(YEAR(B763),"0"))</f>
        <v/>
      </c>
    </row>
    <row r="764" customFormat="false" ht="15" hidden="false" customHeight="false" outlineLevel="0" collapsed="false">
      <c r="B764" s="28"/>
      <c r="C764" s="24" t="str">
        <f aca="false">IF(B764="","",DATE(YEAR(B764),MONTH(B764),1))</f>
        <v/>
      </c>
      <c r="N764" s="26" t="str">
        <f aca="false">IF(L764="","",L764*M764)</f>
        <v/>
      </c>
      <c r="P764" s="26" t="str">
        <f aca="false">IF(L764="","",N764-L764*O764)</f>
        <v/>
      </c>
      <c r="T764" s="22" t="str">
        <f aca="false">IF(R764="","",IF(R764&lt;=Q764,"Yes","No"))</f>
        <v/>
      </c>
      <c r="U764" s="22" t="str">
        <f aca="false">IF(B764="","",TEXT(YEAR(B764),"0"))</f>
        <v/>
      </c>
    </row>
    <row r="765" customFormat="false" ht="15" hidden="false" customHeight="false" outlineLevel="0" collapsed="false">
      <c r="B765" s="28"/>
      <c r="C765" s="24" t="str">
        <f aca="false">IF(B765="","",DATE(YEAR(B765),MONTH(B765),1))</f>
        <v/>
      </c>
      <c r="N765" s="26" t="str">
        <f aca="false">IF(L765="","",L765*M765)</f>
        <v/>
      </c>
      <c r="P765" s="26" t="str">
        <f aca="false">IF(L765="","",N765-L765*O765)</f>
        <v/>
      </c>
      <c r="T765" s="22" t="str">
        <f aca="false">IF(R765="","",IF(R765&lt;=Q765,"Yes","No"))</f>
        <v/>
      </c>
      <c r="U765" s="22" t="str">
        <f aca="false">IF(B765="","",TEXT(YEAR(B765),"0"))</f>
        <v/>
      </c>
    </row>
    <row r="766" customFormat="false" ht="15" hidden="false" customHeight="false" outlineLevel="0" collapsed="false">
      <c r="B766" s="28"/>
      <c r="C766" s="24" t="str">
        <f aca="false">IF(B766="","",DATE(YEAR(B766),MONTH(B766),1))</f>
        <v/>
      </c>
      <c r="N766" s="26" t="str">
        <f aca="false">IF(L766="","",L766*M766)</f>
        <v/>
      </c>
      <c r="P766" s="26" t="str">
        <f aca="false">IF(L766="","",N766-L766*O766)</f>
        <v/>
      </c>
      <c r="T766" s="22" t="str">
        <f aca="false">IF(R766="","",IF(R766&lt;=Q766,"Yes","No"))</f>
        <v/>
      </c>
      <c r="U766" s="22" t="str">
        <f aca="false">IF(B766="","",TEXT(YEAR(B766),"0"))</f>
        <v/>
      </c>
    </row>
    <row r="767" customFormat="false" ht="15" hidden="false" customHeight="false" outlineLevel="0" collapsed="false">
      <c r="B767" s="28"/>
      <c r="C767" s="24" t="str">
        <f aca="false">IF(B767="","",DATE(YEAR(B767),MONTH(B767),1))</f>
        <v/>
      </c>
      <c r="N767" s="26" t="str">
        <f aca="false">IF(L767="","",L767*M767)</f>
        <v/>
      </c>
      <c r="P767" s="26" t="str">
        <f aca="false">IF(L767="","",N767-L767*O767)</f>
        <v/>
      </c>
      <c r="T767" s="22" t="str">
        <f aca="false">IF(R767="","",IF(R767&lt;=Q767,"Yes","No"))</f>
        <v/>
      </c>
      <c r="U767" s="22" t="str">
        <f aca="false">IF(B767="","",TEXT(YEAR(B767),"0"))</f>
        <v/>
      </c>
    </row>
    <row r="768" customFormat="false" ht="15" hidden="false" customHeight="false" outlineLevel="0" collapsed="false">
      <c r="B768" s="28"/>
      <c r="C768" s="24" t="str">
        <f aca="false">IF(B768="","",DATE(YEAR(B768),MONTH(B768),1))</f>
        <v/>
      </c>
      <c r="N768" s="26" t="str">
        <f aca="false">IF(L768="","",L768*M768)</f>
        <v/>
      </c>
      <c r="P768" s="26" t="str">
        <f aca="false">IF(L768="","",N768-L768*O768)</f>
        <v/>
      </c>
      <c r="T768" s="22" t="str">
        <f aca="false">IF(R768="","",IF(R768&lt;=Q768,"Yes","No"))</f>
        <v/>
      </c>
      <c r="U768" s="22" t="str">
        <f aca="false">IF(B768="","",TEXT(YEAR(B768),"0"))</f>
        <v/>
      </c>
    </row>
    <row r="769" customFormat="false" ht="15" hidden="false" customHeight="false" outlineLevel="0" collapsed="false">
      <c r="B769" s="28"/>
      <c r="C769" s="24" t="str">
        <f aca="false">IF(B769="","",DATE(YEAR(B769),MONTH(B769),1))</f>
        <v/>
      </c>
      <c r="N769" s="26" t="str">
        <f aca="false">IF(L769="","",L769*M769)</f>
        <v/>
      </c>
      <c r="P769" s="26" t="str">
        <f aca="false">IF(L769="","",N769-L769*O769)</f>
        <v/>
      </c>
      <c r="T769" s="22" t="str">
        <f aca="false">IF(R769="","",IF(R769&lt;=Q769,"Yes","No"))</f>
        <v/>
      </c>
      <c r="U769" s="22" t="str">
        <f aca="false">IF(B769="","",TEXT(YEAR(B769),"0"))</f>
        <v/>
      </c>
    </row>
    <row r="770" customFormat="false" ht="15" hidden="false" customHeight="false" outlineLevel="0" collapsed="false">
      <c r="B770" s="28"/>
      <c r="C770" s="24" t="str">
        <f aca="false">IF(B770="","",DATE(YEAR(B770),MONTH(B770),1))</f>
        <v/>
      </c>
      <c r="N770" s="26" t="str">
        <f aca="false">IF(L770="","",L770*M770)</f>
        <v/>
      </c>
      <c r="P770" s="26" t="str">
        <f aca="false">IF(L770="","",N770-L770*O770)</f>
        <v/>
      </c>
      <c r="T770" s="22" t="str">
        <f aca="false">IF(R770="","",IF(R770&lt;=Q770,"Yes","No"))</f>
        <v/>
      </c>
      <c r="U770" s="22" t="str">
        <f aca="false">IF(B770="","",TEXT(YEAR(B770),"0"))</f>
        <v/>
      </c>
    </row>
    <row r="771" customFormat="false" ht="15" hidden="false" customHeight="false" outlineLevel="0" collapsed="false">
      <c r="B771" s="28"/>
      <c r="C771" s="24" t="str">
        <f aca="false">IF(B771="","",DATE(YEAR(B771),MONTH(B771),1))</f>
        <v/>
      </c>
      <c r="N771" s="26" t="str">
        <f aca="false">IF(L771="","",L771*M771)</f>
        <v/>
      </c>
      <c r="P771" s="26" t="str">
        <f aca="false">IF(L771="","",N771-L771*O771)</f>
        <v/>
      </c>
      <c r="T771" s="22" t="str">
        <f aca="false">IF(R771="","",IF(R771&lt;=Q771,"Yes","No"))</f>
        <v/>
      </c>
      <c r="U771" s="22" t="str">
        <f aca="false">IF(B771="","",TEXT(YEAR(B771),"0"))</f>
        <v/>
      </c>
    </row>
    <row r="772" customFormat="false" ht="15" hidden="false" customHeight="false" outlineLevel="0" collapsed="false">
      <c r="B772" s="28"/>
      <c r="C772" s="24" t="str">
        <f aca="false">IF(B772="","",DATE(YEAR(B772),MONTH(B772),1))</f>
        <v/>
      </c>
      <c r="N772" s="26" t="str">
        <f aca="false">IF(L772="","",L772*M772)</f>
        <v/>
      </c>
      <c r="P772" s="26" t="str">
        <f aca="false">IF(L772="","",N772-L772*O772)</f>
        <v/>
      </c>
      <c r="T772" s="22" t="str">
        <f aca="false">IF(R772="","",IF(R772&lt;=Q772,"Yes","No"))</f>
        <v/>
      </c>
      <c r="U772" s="22" t="str">
        <f aca="false">IF(B772="","",TEXT(YEAR(B772),"0"))</f>
        <v/>
      </c>
    </row>
    <row r="773" customFormat="false" ht="15" hidden="false" customHeight="false" outlineLevel="0" collapsed="false">
      <c r="B773" s="28"/>
      <c r="C773" s="24" t="str">
        <f aca="false">IF(B773="","",DATE(YEAR(B773),MONTH(B773),1))</f>
        <v/>
      </c>
      <c r="N773" s="26" t="str">
        <f aca="false">IF(L773="","",L773*M773)</f>
        <v/>
      </c>
      <c r="P773" s="26" t="str">
        <f aca="false">IF(L773="","",N773-L773*O773)</f>
        <v/>
      </c>
      <c r="T773" s="22" t="str">
        <f aca="false">IF(R773="","",IF(R773&lt;=Q773,"Yes","No"))</f>
        <v/>
      </c>
      <c r="U773" s="22" t="str">
        <f aca="false">IF(B773="","",TEXT(YEAR(B773),"0"))</f>
        <v/>
      </c>
    </row>
    <row r="774" customFormat="false" ht="15" hidden="false" customHeight="false" outlineLevel="0" collapsed="false">
      <c r="B774" s="28"/>
      <c r="C774" s="24" t="str">
        <f aca="false">IF(B774="","",DATE(YEAR(B774),MONTH(B774),1))</f>
        <v/>
      </c>
      <c r="N774" s="26" t="str">
        <f aca="false">IF(L774="","",L774*M774)</f>
        <v/>
      </c>
      <c r="P774" s="26" t="str">
        <f aca="false">IF(L774="","",N774-L774*O774)</f>
        <v/>
      </c>
      <c r="T774" s="22" t="str">
        <f aca="false">IF(R774="","",IF(R774&lt;=Q774,"Yes","No"))</f>
        <v/>
      </c>
      <c r="U774" s="22" t="str">
        <f aca="false">IF(B774="","",TEXT(YEAR(B774),"0"))</f>
        <v/>
      </c>
    </row>
    <row r="775" customFormat="false" ht="15" hidden="false" customHeight="false" outlineLevel="0" collapsed="false">
      <c r="B775" s="28"/>
      <c r="C775" s="24" t="str">
        <f aca="false">IF(B775="","",DATE(YEAR(B775),MONTH(B775),1))</f>
        <v/>
      </c>
      <c r="N775" s="26" t="str">
        <f aca="false">IF(L775="","",L775*M775)</f>
        <v/>
      </c>
      <c r="P775" s="26" t="str">
        <f aca="false">IF(L775="","",N775-L775*O775)</f>
        <v/>
      </c>
      <c r="T775" s="22" t="str">
        <f aca="false">IF(R775="","",IF(R775&lt;=Q775,"Yes","No"))</f>
        <v/>
      </c>
      <c r="U775" s="22" t="str">
        <f aca="false">IF(B775="","",TEXT(YEAR(B775),"0"))</f>
        <v/>
      </c>
    </row>
    <row r="776" customFormat="false" ht="15" hidden="false" customHeight="false" outlineLevel="0" collapsed="false">
      <c r="B776" s="28"/>
      <c r="C776" s="24" t="str">
        <f aca="false">IF(B776="","",DATE(YEAR(B776),MONTH(B776),1))</f>
        <v/>
      </c>
      <c r="N776" s="26" t="str">
        <f aca="false">IF(L776="","",L776*M776)</f>
        <v/>
      </c>
      <c r="P776" s="26" t="str">
        <f aca="false">IF(L776="","",N776-L776*O776)</f>
        <v/>
      </c>
      <c r="T776" s="22" t="str">
        <f aca="false">IF(R776="","",IF(R776&lt;=Q776,"Yes","No"))</f>
        <v/>
      </c>
      <c r="U776" s="22" t="str">
        <f aca="false">IF(B776="","",TEXT(YEAR(B776),"0"))</f>
        <v/>
      </c>
    </row>
    <row r="777" customFormat="false" ht="15" hidden="false" customHeight="false" outlineLevel="0" collapsed="false">
      <c r="B777" s="28"/>
      <c r="C777" s="24" t="str">
        <f aca="false">IF(B777="","",DATE(YEAR(B777),MONTH(B777),1))</f>
        <v/>
      </c>
      <c r="N777" s="26" t="str">
        <f aca="false">IF(L777="","",L777*M777)</f>
        <v/>
      </c>
      <c r="P777" s="26" t="str">
        <f aca="false">IF(L777="","",N777-L777*O777)</f>
        <v/>
      </c>
      <c r="T777" s="22" t="str">
        <f aca="false">IF(R777="","",IF(R777&lt;=Q777,"Yes","No"))</f>
        <v/>
      </c>
      <c r="U777" s="22" t="str">
        <f aca="false">IF(B777="","",TEXT(YEAR(B777),"0"))</f>
        <v/>
      </c>
    </row>
    <row r="778" customFormat="false" ht="15" hidden="false" customHeight="false" outlineLevel="0" collapsed="false">
      <c r="B778" s="28"/>
      <c r="C778" s="24" t="str">
        <f aca="false">IF(B778="","",DATE(YEAR(B778),MONTH(B778),1))</f>
        <v/>
      </c>
      <c r="N778" s="26" t="str">
        <f aca="false">IF(L778="","",L778*M778)</f>
        <v/>
      </c>
      <c r="P778" s="26" t="str">
        <f aca="false">IF(L778="","",N778-L778*O778)</f>
        <v/>
      </c>
      <c r="T778" s="22" t="str">
        <f aca="false">IF(R778="","",IF(R778&lt;=Q778,"Yes","No"))</f>
        <v/>
      </c>
      <c r="U778" s="22" t="str">
        <f aca="false">IF(B778="","",TEXT(YEAR(B778),"0"))</f>
        <v/>
      </c>
    </row>
    <row r="779" customFormat="false" ht="15" hidden="false" customHeight="false" outlineLevel="0" collapsed="false">
      <c r="B779" s="28"/>
      <c r="C779" s="24" t="str">
        <f aca="false">IF(B779="","",DATE(YEAR(B779),MONTH(B779),1))</f>
        <v/>
      </c>
      <c r="N779" s="26" t="str">
        <f aca="false">IF(L779="","",L779*M779)</f>
        <v/>
      </c>
      <c r="P779" s="26" t="str">
        <f aca="false">IF(L779="","",N779-L779*O779)</f>
        <v/>
      </c>
      <c r="T779" s="22" t="str">
        <f aca="false">IF(R779="","",IF(R779&lt;=Q779,"Yes","No"))</f>
        <v/>
      </c>
      <c r="U779" s="22" t="str">
        <f aca="false">IF(B779="","",TEXT(YEAR(B779),"0"))</f>
        <v/>
      </c>
    </row>
    <row r="780" customFormat="false" ht="15" hidden="false" customHeight="false" outlineLevel="0" collapsed="false">
      <c r="B780" s="28"/>
      <c r="C780" s="24" t="str">
        <f aca="false">IF(B780="","",DATE(YEAR(B780),MONTH(B780),1))</f>
        <v/>
      </c>
      <c r="N780" s="26" t="str">
        <f aca="false">IF(L780="","",L780*M780)</f>
        <v/>
      </c>
      <c r="P780" s="26" t="str">
        <f aca="false">IF(L780="","",N780-L780*O780)</f>
        <v/>
      </c>
      <c r="T780" s="22" t="str">
        <f aca="false">IF(R780="","",IF(R780&lt;=Q780,"Yes","No"))</f>
        <v/>
      </c>
      <c r="U780" s="22" t="str">
        <f aca="false">IF(B780="","",TEXT(YEAR(B780),"0"))</f>
        <v/>
      </c>
    </row>
    <row r="781" customFormat="false" ht="15" hidden="false" customHeight="false" outlineLevel="0" collapsed="false">
      <c r="B781" s="28"/>
      <c r="C781" s="24" t="str">
        <f aca="false">IF(B781="","",DATE(YEAR(B781),MONTH(B781),1))</f>
        <v/>
      </c>
      <c r="N781" s="26" t="str">
        <f aca="false">IF(L781="","",L781*M781)</f>
        <v/>
      </c>
      <c r="P781" s="26" t="str">
        <f aca="false">IF(L781="","",N781-L781*O781)</f>
        <v/>
      </c>
      <c r="T781" s="22" t="str">
        <f aca="false">IF(R781="","",IF(R781&lt;=Q781,"Yes","No"))</f>
        <v/>
      </c>
      <c r="U781" s="22" t="str">
        <f aca="false">IF(B781="","",TEXT(YEAR(B781),"0"))</f>
        <v/>
      </c>
    </row>
    <row r="782" customFormat="false" ht="15" hidden="false" customHeight="false" outlineLevel="0" collapsed="false">
      <c r="B782" s="28"/>
      <c r="C782" s="24" t="str">
        <f aca="false">IF(B782="","",DATE(YEAR(B782),MONTH(B782),1))</f>
        <v/>
      </c>
      <c r="N782" s="26" t="str">
        <f aca="false">IF(L782="","",L782*M782)</f>
        <v/>
      </c>
      <c r="P782" s="26" t="str">
        <f aca="false">IF(L782="","",N782-L782*O782)</f>
        <v/>
      </c>
      <c r="T782" s="22" t="str">
        <f aca="false">IF(R782="","",IF(R782&lt;=Q782,"Yes","No"))</f>
        <v/>
      </c>
      <c r="U782" s="22" t="str">
        <f aca="false">IF(B782="","",TEXT(YEAR(B782),"0"))</f>
        <v/>
      </c>
    </row>
    <row r="783" customFormat="false" ht="15" hidden="false" customHeight="false" outlineLevel="0" collapsed="false">
      <c r="B783" s="28"/>
      <c r="C783" s="24" t="str">
        <f aca="false">IF(B783="","",DATE(YEAR(B783),MONTH(B783),1))</f>
        <v/>
      </c>
      <c r="N783" s="26" t="str">
        <f aca="false">IF(L783="","",L783*M783)</f>
        <v/>
      </c>
      <c r="P783" s="26" t="str">
        <f aca="false">IF(L783="","",N783-L783*O783)</f>
        <v/>
      </c>
      <c r="T783" s="22" t="str">
        <f aca="false">IF(R783="","",IF(R783&lt;=Q783,"Yes","No"))</f>
        <v/>
      </c>
      <c r="U783" s="22" t="str">
        <f aca="false">IF(B783="","",TEXT(YEAR(B783),"0"))</f>
        <v/>
      </c>
    </row>
    <row r="784" customFormat="false" ht="15" hidden="false" customHeight="false" outlineLevel="0" collapsed="false">
      <c r="B784" s="28"/>
      <c r="C784" s="24" t="str">
        <f aca="false">IF(B784="","",DATE(YEAR(B784),MONTH(B784),1))</f>
        <v/>
      </c>
      <c r="N784" s="26" t="str">
        <f aca="false">IF(L784="","",L784*M784)</f>
        <v/>
      </c>
      <c r="P784" s="26" t="str">
        <f aca="false">IF(L784="","",N784-L784*O784)</f>
        <v/>
      </c>
      <c r="T784" s="22" t="str">
        <f aca="false">IF(R784="","",IF(R784&lt;=Q784,"Yes","No"))</f>
        <v/>
      </c>
      <c r="U784" s="22" t="str">
        <f aca="false">IF(B784="","",TEXT(YEAR(B784),"0"))</f>
        <v/>
      </c>
    </row>
    <row r="785" customFormat="false" ht="15" hidden="false" customHeight="false" outlineLevel="0" collapsed="false">
      <c r="B785" s="28"/>
      <c r="C785" s="24" t="str">
        <f aca="false">IF(B785="","",DATE(YEAR(B785),MONTH(B785),1))</f>
        <v/>
      </c>
      <c r="N785" s="26" t="str">
        <f aca="false">IF(L785="","",L785*M785)</f>
        <v/>
      </c>
      <c r="P785" s="26" t="str">
        <f aca="false">IF(L785="","",N785-L785*O785)</f>
        <v/>
      </c>
      <c r="T785" s="22" t="str">
        <f aca="false">IF(R785="","",IF(R785&lt;=Q785,"Yes","No"))</f>
        <v/>
      </c>
      <c r="U785" s="22" t="str">
        <f aca="false">IF(B785="","",TEXT(YEAR(B785),"0"))</f>
        <v/>
      </c>
    </row>
    <row r="786" customFormat="false" ht="15" hidden="false" customHeight="false" outlineLevel="0" collapsed="false">
      <c r="B786" s="28"/>
      <c r="C786" s="24" t="str">
        <f aca="false">IF(B786="","",DATE(YEAR(B786),MONTH(B786),1))</f>
        <v/>
      </c>
      <c r="N786" s="26" t="str">
        <f aca="false">IF(L786="","",L786*M786)</f>
        <v/>
      </c>
      <c r="P786" s="26" t="str">
        <f aca="false">IF(L786="","",N786-L786*O786)</f>
        <v/>
      </c>
      <c r="T786" s="22" t="str">
        <f aca="false">IF(R786="","",IF(R786&lt;=Q786,"Yes","No"))</f>
        <v/>
      </c>
      <c r="U786" s="22" t="str">
        <f aca="false">IF(B786="","",TEXT(YEAR(B786),"0"))</f>
        <v/>
      </c>
    </row>
    <row r="787" customFormat="false" ht="15" hidden="false" customHeight="false" outlineLevel="0" collapsed="false">
      <c r="B787" s="28"/>
      <c r="C787" s="24" t="str">
        <f aca="false">IF(B787="","",DATE(YEAR(B787),MONTH(B787),1))</f>
        <v/>
      </c>
      <c r="N787" s="26" t="str">
        <f aca="false">IF(L787="","",L787*M787)</f>
        <v/>
      </c>
      <c r="P787" s="26" t="str">
        <f aca="false">IF(L787="","",N787-L787*O787)</f>
        <v/>
      </c>
      <c r="T787" s="22" t="str">
        <f aca="false">IF(R787="","",IF(R787&lt;=Q787,"Yes","No"))</f>
        <v/>
      </c>
      <c r="U787" s="22" t="str">
        <f aca="false">IF(B787="","",TEXT(YEAR(B787),"0"))</f>
        <v/>
      </c>
    </row>
    <row r="788" customFormat="false" ht="15" hidden="false" customHeight="false" outlineLevel="0" collapsed="false">
      <c r="B788" s="28"/>
      <c r="C788" s="24" t="str">
        <f aca="false">IF(B788="","",DATE(YEAR(B788),MONTH(B788),1))</f>
        <v/>
      </c>
      <c r="N788" s="26" t="str">
        <f aca="false">IF(L788="","",L788*M788)</f>
        <v/>
      </c>
      <c r="P788" s="26" t="str">
        <f aca="false">IF(L788="","",N788-L788*O788)</f>
        <v/>
      </c>
      <c r="T788" s="22" t="str">
        <f aca="false">IF(R788="","",IF(R788&lt;=Q788,"Yes","No"))</f>
        <v/>
      </c>
      <c r="U788" s="22" t="str">
        <f aca="false">IF(B788="","",TEXT(YEAR(B788),"0"))</f>
        <v/>
      </c>
    </row>
    <row r="789" customFormat="false" ht="15" hidden="false" customHeight="false" outlineLevel="0" collapsed="false">
      <c r="B789" s="28"/>
      <c r="C789" s="24" t="str">
        <f aca="false">IF(B789="","",DATE(YEAR(B789),MONTH(B789),1))</f>
        <v/>
      </c>
      <c r="N789" s="26" t="str">
        <f aca="false">IF(L789="","",L789*M789)</f>
        <v/>
      </c>
      <c r="P789" s="26" t="str">
        <f aca="false">IF(L789="","",N789-L789*O789)</f>
        <v/>
      </c>
      <c r="T789" s="22" t="str">
        <f aca="false">IF(R789="","",IF(R789&lt;=Q789,"Yes","No"))</f>
        <v/>
      </c>
      <c r="U789" s="22" t="str">
        <f aca="false">IF(B789="","",TEXT(YEAR(B789),"0"))</f>
        <v/>
      </c>
    </row>
    <row r="790" customFormat="false" ht="15" hidden="false" customHeight="false" outlineLevel="0" collapsed="false">
      <c r="B790" s="28"/>
      <c r="C790" s="24" t="str">
        <f aca="false">IF(B790="","",DATE(YEAR(B790),MONTH(B790),1))</f>
        <v/>
      </c>
      <c r="N790" s="26" t="str">
        <f aca="false">IF(L790="","",L790*M790)</f>
        <v/>
      </c>
      <c r="P790" s="26" t="str">
        <f aca="false">IF(L790="","",N790-L790*O790)</f>
        <v/>
      </c>
      <c r="T790" s="22" t="str">
        <f aca="false">IF(R790="","",IF(R790&lt;=Q790,"Yes","No"))</f>
        <v/>
      </c>
      <c r="U790" s="22" t="str">
        <f aca="false">IF(B790="","",TEXT(YEAR(B790),"0"))</f>
        <v/>
      </c>
    </row>
    <row r="791" customFormat="false" ht="15" hidden="false" customHeight="false" outlineLevel="0" collapsed="false">
      <c r="B791" s="28"/>
      <c r="C791" s="24" t="str">
        <f aca="false">IF(B791="","",DATE(YEAR(B791),MONTH(B791),1))</f>
        <v/>
      </c>
      <c r="N791" s="26" t="str">
        <f aca="false">IF(L791="","",L791*M791)</f>
        <v/>
      </c>
      <c r="P791" s="26" t="str">
        <f aca="false">IF(L791="","",N791-L791*O791)</f>
        <v/>
      </c>
      <c r="T791" s="22" t="str">
        <f aca="false">IF(R791="","",IF(R791&lt;=Q791,"Yes","No"))</f>
        <v/>
      </c>
      <c r="U791" s="22" t="str">
        <f aca="false">IF(B791="","",TEXT(YEAR(B791),"0"))</f>
        <v/>
      </c>
    </row>
    <row r="792" customFormat="false" ht="15" hidden="false" customHeight="false" outlineLevel="0" collapsed="false">
      <c r="B792" s="28"/>
      <c r="C792" s="24" t="str">
        <f aca="false">IF(B792="","",DATE(YEAR(B792),MONTH(B792),1))</f>
        <v/>
      </c>
      <c r="N792" s="26" t="str">
        <f aca="false">IF(L792="","",L792*M792)</f>
        <v/>
      </c>
      <c r="P792" s="26" t="str">
        <f aca="false">IF(L792="","",N792-L792*O792)</f>
        <v/>
      </c>
      <c r="T792" s="22" t="str">
        <f aca="false">IF(R792="","",IF(R792&lt;=Q792,"Yes","No"))</f>
        <v/>
      </c>
      <c r="U792" s="22" t="str">
        <f aca="false">IF(B792="","",TEXT(YEAR(B792),"0"))</f>
        <v/>
      </c>
    </row>
    <row r="793" customFormat="false" ht="15" hidden="false" customHeight="false" outlineLevel="0" collapsed="false">
      <c r="B793" s="28"/>
      <c r="C793" s="24" t="str">
        <f aca="false">IF(B793="","",DATE(YEAR(B793),MONTH(B793),1))</f>
        <v/>
      </c>
      <c r="N793" s="26" t="str">
        <f aca="false">IF(L793="","",L793*M793)</f>
        <v/>
      </c>
      <c r="P793" s="26" t="str">
        <f aca="false">IF(L793="","",N793-L793*O793)</f>
        <v/>
      </c>
      <c r="T793" s="22" t="str">
        <f aca="false">IF(R793="","",IF(R793&lt;=Q793,"Yes","No"))</f>
        <v/>
      </c>
      <c r="U793" s="22" t="str">
        <f aca="false">IF(B793="","",TEXT(YEAR(B793),"0"))</f>
        <v/>
      </c>
    </row>
    <row r="794" customFormat="false" ht="15" hidden="false" customHeight="false" outlineLevel="0" collapsed="false">
      <c r="B794" s="28"/>
      <c r="C794" s="24" t="str">
        <f aca="false">IF(B794="","",DATE(YEAR(B794),MONTH(B794),1))</f>
        <v/>
      </c>
      <c r="N794" s="26" t="str">
        <f aca="false">IF(L794="","",L794*M794)</f>
        <v/>
      </c>
      <c r="P794" s="26" t="str">
        <f aca="false">IF(L794="","",N794-L794*O794)</f>
        <v/>
      </c>
      <c r="T794" s="22" t="str">
        <f aca="false">IF(R794="","",IF(R794&lt;=Q794,"Yes","No"))</f>
        <v/>
      </c>
      <c r="U794" s="22" t="str">
        <f aca="false">IF(B794="","",TEXT(YEAR(B794),"0"))</f>
        <v/>
      </c>
    </row>
    <row r="795" customFormat="false" ht="15" hidden="false" customHeight="false" outlineLevel="0" collapsed="false">
      <c r="B795" s="28"/>
      <c r="C795" s="24" t="str">
        <f aca="false">IF(B795="","",DATE(YEAR(B795),MONTH(B795),1))</f>
        <v/>
      </c>
      <c r="N795" s="26" t="str">
        <f aca="false">IF(L795="","",L795*M795)</f>
        <v/>
      </c>
      <c r="P795" s="26" t="str">
        <f aca="false">IF(L795="","",N795-L795*O795)</f>
        <v/>
      </c>
      <c r="T795" s="22" t="str">
        <f aca="false">IF(R795="","",IF(R795&lt;=Q795,"Yes","No"))</f>
        <v/>
      </c>
      <c r="U795" s="22" t="str">
        <f aca="false">IF(B795="","",TEXT(YEAR(B795),"0"))</f>
        <v/>
      </c>
    </row>
    <row r="796" customFormat="false" ht="15" hidden="false" customHeight="false" outlineLevel="0" collapsed="false">
      <c r="B796" s="28"/>
      <c r="C796" s="24" t="str">
        <f aca="false">IF(B796="","",DATE(YEAR(B796),MONTH(B796),1))</f>
        <v/>
      </c>
      <c r="N796" s="26" t="str">
        <f aca="false">IF(L796="","",L796*M796)</f>
        <v/>
      </c>
      <c r="P796" s="26" t="str">
        <f aca="false">IF(L796="","",N796-L796*O796)</f>
        <v/>
      </c>
      <c r="T796" s="22" t="str">
        <f aca="false">IF(R796="","",IF(R796&lt;=Q796,"Yes","No"))</f>
        <v/>
      </c>
      <c r="U796" s="22" t="str">
        <f aca="false">IF(B796="","",TEXT(YEAR(B796),"0"))</f>
        <v/>
      </c>
    </row>
    <row r="797" customFormat="false" ht="15" hidden="false" customHeight="false" outlineLevel="0" collapsed="false">
      <c r="B797" s="28"/>
      <c r="C797" s="24" t="str">
        <f aca="false">IF(B797="","",DATE(YEAR(B797),MONTH(B797),1))</f>
        <v/>
      </c>
      <c r="N797" s="26" t="str">
        <f aca="false">IF(L797="","",L797*M797)</f>
        <v/>
      </c>
      <c r="P797" s="26" t="str">
        <f aca="false">IF(L797="","",N797-L797*O797)</f>
        <v/>
      </c>
      <c r="T797" s="22" t="str">
        <f aca="false">IF(R797="","",IF(R797&lt;=Q797,"Yes","No"))</f>
        <v/>
      </c>
      <c r="U797" s="22" t="str">
        <f aca="false">IF(B797="","",TEXT(YEAR(B797),"0"))</f>
        <v/>
      </c>
    </row>
    <row r="798" customFormat="false" ht="15" hidden="false" customHeight="false" outlineLevel="0" collapsed="false">
      <c r="B798" s="28"/>
      <c r="C798" s="24" t="str">
        <f aca="false">IF(B798="","",DATE(YEAR(B798),MONTH(B798),1))</f>
        <v/>
      </c>
      <c r="N798" s="26" t="str">
        <f aca="false">IF(L798="","",L798*M798)</f>
        <v/>
      </c>
      <c r="P798" s="26" t="str">
        <f aca="false">IF(L798="","",N798-L798*O798)</f>
        <v/>
      </c>
      <c r="T798" s="22" t="str">
        <f aca="false">IF(R798="","",IF(R798&lt;=Q798,"Yes","No"))</f>
        <v/>
      </c>
      <c r="U798" s="22" t="str">
        <f aca="false">IF(B798="","",TEXT(YEAR(B798),"0"))</f>
        <v/>
      </c>
    </row>
    <row r="799" customFormat="false" ht="15" hidden="false" customHeight="false" outlineLevel="0" collapsed="false">
      <c r="B799" s="28"/>
      <c r="C799" s="24" t="str">
        <f aca="false">IF(B799="","",DATE(YEAR(B799),MONTH(B799),1))</f>
        <v/>
      </c>
      <c r="N799" s="26" t="str">
        <f aca="false">IF(L799="","",L799*M799)</f>
        <v/>
      </c>
      <c r="P799" s="26" t="str">
        <f aca="false">IF(L799="","",N799-L799*O799)</f>
        <v/>
      </c>
      <c r="T799" s="22" t="str">
        <f aca="false">IF(R799="","",IF(R799&lt;=Q799,"Yes","No"))</f>
        <v/>
      </c>
      <c r="U799" s="22" t="str">
        <f aca="false">IF(B799="","",TEXT(YEAR(B799),"0"))</f>
        <v/>
      </c>
    </row>
    <row r="800" customFormat="false" ht="15" hidden="false" customHeight="false" outlineLevel="0" collapsed="false">
      <c r="B800" s="28"/>
      <c r="C800" s="24" t="str">
        <f aca="false">IF(B800="","",DATE(YEAR(B800),MONTH(B800),1))</f>
        <v/>
      </c>
      <c r="N800" s="26" t="str">
        <f aca="false">IF(L800="","",L800*M800)</f>
        <v/>
      </c>
      <c r="P800" s="26" t="str">
        <f aca="false">IF(L800="","",N800-L800*O800)</f>
        <v/>
      </c>
      <c r="T800" s="22" t="str">
        <f aca="false">IF(R800="","",IF(R800&lt;=Q800,"Yes","No"))</f>
        <v/>
      </c>
      <c r="U800" s="22" t="str">
        <f aca="false">IF(B800="","",TEXT(YEAR(B800),"0"))</f>
        <v/>
      </c>
    </row>
    <row r="801" customFormat="false" ht="15" hidden="false" customHeight="false" outlineLevel="0" collapsed="false">
      <c r="B801" s="28"/>
      <c r="C801" s="24" t="str">
        <f aca="false">IF(B801="","",DATE(YEAR(B801),MONTH(B801),1))</f>
        <v/>
      </c>
      <c r="N801" s="26" t="str">
        <f aca="false">IF(L801="","",L801*M801)</f>
        <v/>
      </c>
      <c r="P801" s="26" t="str">
        <f aca="false">IF(L801="","",N801-L801*O801)</f>
        <v/>
      </c>
      <c r="T801" s="22" t="str">
        <f aca="false">IF(R801="","",IF(R801&lt;=Q801,"Yes","No"))</f>
        <v/>
      </c>
      <c r="U801" s="22" t="str">
        <f aca="false">IF(B801="","",TEXT(YEAR(B801),"0"))</f>
        <v/>
      </c>
    </row>
    <row r="802" customFormat="false" ht="15" hidden="false" customHeight="false" outlineLevel="0" collapsed="false">
      <c r="B802" s="28"/>
      <c r="C802" s="24" t="str">
        <f aca="false">IF(B802="","",DATE(YEAR(B802),MONTH(B802),1))</f>
        <v/>
      </c>
      <c r="N802" s="26" t="str">
        <f aca="false">IF(L802="","",L802*M802)</f>
        <v/>
      </c>
      <c r="P802" s="26" t="str">
        <f aca="false">IF(L802="","",N802-L802*O802)</f>
        <v/>
      </c>
      <c r="T802" s="22" t="str">
        <f aca="false">IF(R802="","",IF(R802&lt;=Q802,"Yes","No"))</f>
        <v/>
      </c>
      <c r="U802" s="22" t="str">
        <f aca="false">IF(B802="","",TEXT(YEAR(B802),"0"))</f>
        <v/>
      </c>
    </row>
    <row r="803" customFormat="false" ht="15" hidden="false" customHeight="false" outlineLevel="0" collapsed="false">
      <c r="B803" s="28"/>
      <c r="C803" s="24" t="str">
        <f aca="false">IF(B803="","",DATE(YEAR(B803),MONTH(B803),1))</f>
        <v/>
      </c>
      <c r="N803" s="26" t="str">
        <f aca="false">IF(L803="","",L803*M803)</f>
        <v/>
      </c>
      <c r="P803" s="26" t="str">
        <f aca="false">IF(L803="","",N803-L803*O803)</f>
        <v/>
      </c>
      <c r="T803" s="22" t="str">
        <f aca="false">IF(R803="","",IF(R803&lt;=Q803,"Yes","No"))</f>
        <v/>
      </c>
      <c r="U803" s="22" t="str">
        <f aca="false">IF(B803="","",TEXT(YEAR(B803),"0"))</f>
        <v/>
      </c>
    </row>
    <row r="804" customFormat="false" ht="15" hidden="false" customHeight="false" outlineLevel="0" collapsed="false">
      <c r="B804" s="28"/>
      <c r="C804" s="24" t="str">
        <f aca="false">IF(B804="","",DATE(YEAR(B804),MONTH(B804),1))</f>
        <v/>
      </c>
      <c r="N804" s="26" t="str">
        <f aca="false">IF(L804="","",L804*M804)</f>
        <v/>
      </c>
      <c r="P804" s="26" t="str">
        <f aca="false">IF(L804="","",N804-L804*O804)</f>
        <v/>
      </c>
      <c r="T804" s="22" t="str">
        <f aca="false">IF(R804="","",IF(R804&lt;=Q804,"Yes","No"))</f>
        <v/>
      </c>
      <c r="U804" s="22" t="str">
        <f aca="false">IF(B804="","",TEXT(YEAR(B804),"0"))</f>
        <v/>
      </c>
    </row>
    <row r="805" customFormat="false" ht="15" hidden="false" customHeight="false" outlineLevel="0" collapsed="false">
      <c r="B805" s="28"/>
      <c r="C805" s="24" t="str">
        <f aca="false">IF(B805="","",DATE(YEAR(B805),MONTH(B805),1))</f>
        <v/>
      </c>
      <c r="N805" s="26" t="str">
        <f aca="false">IF(L805="","",L805*M805)</f>
        <v/>
      </c>
      <c r="P805" s="26" t="str">
        <f aca="false">IF(L805="","",N805-L805*O805)</f>
        <v/>
      </c>
      <c r="T805" s="22" t="str">
        <f aca="false">IF(R805="","",IF(R805&lt;=Q805,"Yes","No"))</f>
        <v/>
      </c>
      <c r="U805" s="22" t="str">
        <f aca="false">IF(B805="","",TEXT(YEAR(B805),"0"))</f>
        <v/>
      </c>
    </row>
    <row r="806" customFormat="false" ht="15" hidden="false" customHeight="false" outlineLevel="0" collapsed="false">
      <c r="B806" s="28"/>
      <c r="C806" s="24" t="str">
        <f aca="false">IF(B806="","",DATE(YEAR(B806),MONTH(B806),1))</f>
        <v/>
      </c>
      <c r="N806" s="26" t="str">
        <f aca="false">IF(L806="","",L806*M806)</f>
        <v/>
      </c>
      <c r="P806" s="26" t="str">
        <f aca="false">IF(L806="","",N806-L806*O806)</f>
        <v/>
      </c>
      <c r="T806" s="22" t="str">
        <f aca="false">IF(R806="","",IF(R806&lt;=Q806,"Yes","No"))</f>
        <v/>
      </c>
      <c r="U806" s="22" t="str">
        <f aca="false">IF(B806="","",TEXT(YEAR(B806),"0"))</f>
        <v/>
      </c>
    </row>
    <row r="807" customFormat="false" ht="15" hidden="false" customHeight="false" outlineLevel="0" collapsed="false">
      <c r="B807" s="28"/>
      <c r="C807" s="24" t="str">
        <f aca="false">IF(B807="","",DATE(YEAR(B807),MONTH(B807),1))</f>
        <v/>
      </c>
      <c r="N807" s="26" t="str">
        <f aca="false">IF(L807="","",L807*M807)</f>
        <v/>
      </c>
      <c r="P807" s="26" t="str">
        <f aca="false">IF(L807="","",N807-L807*O807)</f>
        <v/>
      </c>
      <c r="T807" s="22" t="str">
        <f aca="false">IF(R807="","",IF(R807&lt;=Q807,"Yes","No"))</f>
        <v/>
      </c>
      <c r="U807" s="22" t="str">
        <f aca="false">IF(B807="","",TEXT(YEAR(B807),"0"))</f>
        <v/>
      </c>
    </row>
    <row r="808" customFormat="false" ht="15" hidden="false" customHeight="false" outlineLevel="0" collapsed="false">
      <c r="B808" s="28"/>
      <c r="C808" s="24" t="str">
        <f aca="false">IF(B808="","",DATE(YEAR(B808),MONTH(B808),1))</f>
        <v/>
      </c>
      <c r="N808" s="26" t="str">
        <f aca="false">IF(L808="","",L808*M808)</f>
        <v/>
      </c>
      <c r="P808" s="26" t="str">
        <f aca="false">IF(L808="","",N808-L808*O808)</f>
        <v/>
      </c>
      <c r="T808" s="22" t="str">
        <f aca="false">IF(R808="","",IF(R808&lt;=Q808,"Yes","No"))</f>
        <v/>
      </c>
      <c r="U808" s="22" t="str">
        <f aca="false">IF(B808="","",TEXT(YEAR(B808),"0"))</f>
        <v/>
      </c>
    </row>
    <row r="809" customFormat="false" ht="15" hidden="false" customHeight="false" outlineLevel="0" collapsed="false">
      <c r="B809" s="28"/>
      <c r="C809" s="24" t="str">
        <f aca="false">IF(B809="","",DATE(YEAR(B809),MONTH(B809),1))</f>
        <v/>
      </c>
      <c r="N809" s="26" t="str">
        <f aca="false">IF(L809="","",L809*M809)</f>
        <v/>
      </c>
      <c r="P809" s="26" t="str">
        <f aca="false">IF(L809="","",N809-L809*O809)</f>
        <v/>
      </c>
      <c r="T809" s="22" t="str">
        <f aca="false">IF(R809="","",IF(R809&lt;=Q809,"Yes","No"))</f>
        <v/>
      </c>
      <c r="U809" s="22" t="str">
        <f aca="false">IF(B809="","",TEXT(YEAR(B809),"0"))</f>
        <v/>
      </c>
    </row>
    <row r="810" customFormat="false" ht="15" hidden="false" customHeight="false" outlineLevel="0" collapsed="false">
      <c r="B810" s="28"/>
      <c r="C810" s="24" t="str">
        <f aca="false">IF(B810="","",DATE(YEAR(B810),MONTH(B810),1))</f>
        <v/>
      </c>
      <c r="N810" s="26" t="str">
        <f aca="false">IF(L810="","",L810*M810)</f>
        <v/>
      </c>
      <c r="P810" s="26" t="str">
        <f aca="false">IF(L810="","",N810-L810*O810)</f>
        <v/>
      </c>
      <c r="T810" s="22" t="str">
        <f aca="false">IF(R810="","",IF(R810&lt;=Q810,"Yes","No"))</f>
        <v/>
      </c>
      <c r="U810" s="22" t="str">
        <f aca="false">IF(B810="","",TEXT(YEAR(B810),"0"))</f>
        <v/>
      </c>
    </row>
    <row r="811" customFormat="false" ht="15" hidden="false" customHeight="false" outlineLevel="0" collapsed="false">
      <c r="B811" s="28"/>
      <c r="C811" s="24" t="str">
        <f aca="false">IF(B811="","",DATE(YEAR(B811),MONTH(B811),1))</f>
        <v/>
      </c>
      <c r="N811" s="26" t="str">
        <f aca="false">IF(L811="","",L811*M811)</f>
        <v/>
      </c>
      <c r="P811" s="26" t="str">
        <f aca="false">IF(L811="","",N811-L811*O811)</f>
        <v/>
      </c>
      <c r="T811" s="22" t="str">
        <f aca="false">IF(R811="","",IF(R811&lt;=Q811,"Yes","No"))</f>
        <v/>
      </c>
      <c r="U811" s="22" t="str">
        <f aca="false">IF(B811="","",TEXT(YEAR(B811),"0"))</f>
        <v/>
      </c>
    </row>
    <row r="812" customFormat="false" ht="15" hidden="false" customHeight="false" outlineLevel="0" collapsed="false">
      <c r="B812" s="28"/>
      <c r="C812" s="24" t="str">
        <f aca="false">IF(B812="","",DATE(YEAR(B812),MONTH(B812),1))</f>
        <v/>
      </c>
      <c r="N812" s="26" t="str">
        <f aca="false">IF(L812="","",L812*M812)</f>
        <v/>
      </c>
      <c r="P812" s="26" t="str">
        <f aca="false">IF(L812="","",N812-L812*O812)</f>
        <v/>
      </c>
      <c r="T812" s="22" t="str">
        <f aca="false">IF(R812="","",IF(R812&lt;=Q812,"Yes","No"))</f>
        <v/>
      </c>
      <c r="U812" s="22" t="str">
        <f aca="false">IF(B812="","",TEXT(YEAR(B812),"0"))</f>
        <v/>
      </c>
    </row>
    <row r="813" customFormat="false" ht="15" hidden="false" customHeight="false" outlineLevel="0" collapsed="false">
      <c r="B813" s="28"/>
      <c r="C813" s="24" t="str">
        <f aca="false">IF(B813="","",DATE(YEAR(B813),MONTH(B813),1))</f>
        <v/>
      </c>
      <c r="N813" s="26" t="str">
        <f aca="false">IF(L813="","",L813*M813)</f>
        <v/>
      </c>
      <c r="P813" s="26" t="str">
        <f aca="false">IF(L813="","",N813-L813*O813)</f>
        <v/>
      </c>
      <c r="T813" s="22" t="str">
        <f aca="false">IF(R813="","",IF(R813&lt;=Q813,"Yes","No"))</f>
        <v/>
      </c>
      <c r="U813" s="22" t="str">
        <f aca="false">IF(B813="","",TEXT(YEAR(B813),"0"))</f>
        <v/>
      </c>
    </row>
    <row r="814" customFormat="false" ht="15" hidden="false" customHeight="false" outlineLevel="0" collapsed="false">
      <c r="B814" s="28"/>
      <c r="C814" s="24" t="str">
        <f aca="false">IF(B814="","",DATE(YEAR(B814),MONTH(B814),1))</f>
        <v/>
      </c>
      <c r="N814" s="26" t="str">
        <f aca="false">IF(L814="","",L814*M814)</f>
        <v/>
      </c>
      <c r="P814" s="26" t="str">
        <f aca="false">IF(L814="","",N814-L814*O814)</f>
        <v/>
      </c>
      <c r="T814" s="22" t="str">
        <f aca="false">IF(R814="","",IF(R814&lt;=Q814,"Yes","No"))</f>
        <v/>
      </c>
      <c r="U814" s="22" t="str">
        <f aca="false">IF(B814="","",TEXT(YEAR(B814),"0"))</f>
        <v/>
      </c>
    </row>
    <row r="815" customFormat="false" ht="15" hidden="false" customHeight="false" outlineLevel="0" collapsed="false">
      <c r="B815" s="28"/>
      <c r="C815" s="24" t="str">
        <f aca="false">IF(B815="","",DATE(YEAR(B815),MONTH(B815),1))</f>
        <v/>
      </c>
      <c r="N815" s="26" t="str">
        <f aca="false">IF(L815="","",L815*M815)</f>
        <v/>
      </c>
      <c r="P815" s="26" t="str">
        <f aca="false">IF(L815="","",N815-L815*O815)</f>
        <v/>
      </c>
      <c r="T815" s="22" t="str">
        <f aca="false">IF(R815="","",IF(R815&lt;=Q815,"Yes","No"))</f>
        <v/>
      </c>
      <c r="U815" s="22" t="str">
        <f aca="false">IF(B815="","",TEXT(YEAR(B815),"0"))</f>
        <v/>
      </c>
    </row>
    <row r="816" customFormat="false" ht="15" hidden="false" customHeight="false" outlineLevel="0" collapsed="false">
      <c r="B816" s="28"/>
      <c r="C816" s="24" t="str">
        <f aca="false">IF(B816="","",DATE(YEAR(B816),MONTH(B816),1))</f>
        <v/>
      </c>
      <c r="N816" s="26" t="str">
        <f aca="false">IF(L816="","",L816*M816)</f>
        <v/>
      </c>
      <c r="P816" s="26" t="str">
        <f aca="false">IF(L816="","",N816-L816*O816)</f>
        <v/>
      </c>
      <c r="T816" s="22" t="str">
        <f aca="false">IF(R816="","",IF(R816&lt;=Q816,"Yes","No"))</f>
        <v/>
      </c>
      <c r="U816" s="22" t="str">
        <f aca="false">IF(B816="","",TEXT(YEAR(B816),"0"))</f>
        <v/>
      </c>
    </row>
    <row r="817" customFormat="false" ht="15" hidden="false" customHeight="false" outlineLevel="0" collapsed="false">
      <c r="B817" s="28"/>
      <c r="C817" s="24" t="str">
        <f aca="false">IF(B817="","",DATE(YEAR(B817),MONTH(B817),1))</f>
        <v/>
      </c>
      <c r="N817" s="26" t="str">
        <f aca="false">IF(L817="","",L817*M817)</f>
        <v/>
      </c>
      <c r="P817" s="26" t="str">
        <f aca="false">IF(L817="","",N817-L817*O817)</f>
        <v/>
      </c>
      <c r="T817" s="22" t="str">
        <f aca="false">IF(R817="","",IF(R817&lt;=Q817,"Yes","No"))</f>
        <v/>
      </c>
      <c r="U817" s="22" t="str">
        <f aca="false">IF(B817="","",TEXT(YEAR(B817),"0"))</f>
        <v/>
      </c>
    </row>
    <row r="818" customFormat="false" ht="15" hidden="false" customHeight="false" outlineLevel="0" collapsed="false">
      <c r="B818" s="28"/>
      <c r="C818" s="24" t="str">
        <f aca="false">IF(B818="","",DATE(YEAR(B818),MONTH(B818),1))</f>
        <v/>
      </c>
      <c r="N818" s="26" t="str">
        <f aca="false">IF(L818="","",L818*M818)</f>
        <v/>
      </c>
      <c r="P818" s="26" t="str">
        <f aca="false">IF(L818="","",N818-L818*O818)</f>
        <v/>
      </c>
      <c r="T818" s="22" t="str">
        <f aca="false">IF(R818="","",IF(R818&lt;=Q818,"Yes","No"))</f>
        <v/>
      </c>
      <c r="U818" s="22" t="str">
        <f aca="false">IF(B818="","",TEXT(YEAR(B818),"0"))</f>
        <v/>
      </c>
    </row>
    <row r="819" customFormat="false" ht="15" hidden="false" customHeight="false" outlineLevel="0" collapsed="false">
      <c r="B819" s="28"/>
      <c r="C819" s="24" t="str">
        <f aca="false">IF(B819="","",DATE(YEAR(B819),MONTH(B819),1))</f>
        <v/>
      </c>
      <c r="N819" s="26" t="str">
        <f aca="false">IF(L819="","",L819*M819)</f>
        <v/>
      </c>
      <c r="P819" s="26" t="str">
        <f aca="false">IF(L819="","",N819-L819*O819)</f>
        <v/>
      </c>
      <c r="T819" s="22" t="str">
        <f aca="false">IF(R819="","",IF(R819&lt;=Q819,"Yes","No"))</f>
        <v/>
      </c>
      <c r="U819" s="22" t="str">
        <f aca="false">IF(B819="","",TEXT(YEAR(B819),"0"))</f>
        <v/>
      </c>
    </row>
    <row r="820" customFormat="false" ht="15" hidden="false" customHeight="false" outlineLevel="0" collapsed="false">
      <c r="B820" s="28"/>
      <c r="C820" s="24" t="str">
        <f aca="false">IF(B820="","",DATE(YEAR(B820),MONTH(B820),1))</f>
        <v/>
      </c>
      <c r="N820" s="26" t="str">
        <f aca="false">IF(L820="","",L820*M820)</f>
        <v/>
      </c>
      <c r="P820" s="26" t="str">
        <f aca="false">IF(L820="","",N820-L820*O820)</f>
        <v/>
      </c>
      <c r="T820" s="22" t="str">
        <f aca="false">IF(R820="","",IF(R820&lt;=Q820,"Yes","No"))</f>
        <v/>
      </c>
      <c r="U820" s="22" t="str">
        <f aca="false">IF(B820="","",TEXT(YEAR(B820),"0"))</f>
        <v/>
      </c>
    </row>
    <row r="821" customFormat="false" ht="15" hidden="false" customHeight="false" outlineLevel="0" collapsed="false">
      <c r="B821" s="28"/>
      <c r="C821" s="24" t="str">
        <f aca="false">IF(B821="","",DATE(YEAR(B821),MONTH(B821),1))</f>
        <v/>
      </c>
      <c r="N821" s="26" t="str">
        <f aca="false">IF(L821="","",L821*M821)</f>
        <v/>
      </c>
      <c r="P821" s="26" t="str">
        <f aca="false">IF(L821="","",N821-L821*O821)</f>
        <v/>
      </c>
      <c r="T821" s="22" t="str">
        <f aca="false">IF(R821="","",IF(R821&lt;=Q821,"Yes","No"))</f>
        <v/>
      </c>
      <c r="U821" s="22" t="str">
        <f aca="false">IF(B821="","",TEXT(YEAR(B821),"0"))</f>
        <v/>
      </c>
    </row>
    <row r="822" customFormat="false" ht="15" hidden="false" customHeight="false" outlineLevel="0" collapsed="false">
      <c r="B822" s="28"/>
      <c r="C822" s="24" t="str">
        <f aca="false">IF(B822="","",DATE(YEAR(B822),MONTH(B822),1))</f>
        <v/>
      </c>
      <c r="N822" s="26" t="str">
        <f aca="false">IF(L822="","",L822*M822)</f>
        <v/>
      </c>
      <c r="P822" s="26" t="str">
        <f aca="false">IF(L822="","",N822-L822*O822)</f>
        <v/>
      </c>
      <c r="T822" s="22" t="str">
        <f aca="false">IF(R822="","",IF(R822&lt;=Q822,"Yes","No"))</f>
        <v/>
      </c>
      <c r="U822" s="22" t="str">
        <f aca="false">IF(B822="","",TEXT(YEAR(B822),"0"))</f>
        <v/>
      </c>
    </row>
    <row r="823" customFormat="false" ht="15" hidden="false" customHeight="false" outlineLevel="0" collapsed="false">
      <c r="B823" s="28"/>
      <c r="C823" s="24" t="str">
        <f aca="false">IF(B823="","",DATE(YEAR(B823),MONTH(B823),1))</f>
        <v/>
      </c>
      <c r="N823" s="26" t="str">
        <f aca="false">IF(L823="","",L823*M823)</f>
        <v/>
      </c>
      <c r="P823" s="26" t="str">
        <f aca="false">IF(L823="","",N823-L823*O823)</f>
        <v/>
      </c>
      <c r="T823" s="22" t="str">
        <f aca="false">IF(R823="","",IF(R823&lt;=Q823,"Yes","No"))</f>
        <v/>
      </c>
      <c r="U823" s="22" t="str">
        <f aca="false">IF(B823="","",TEXT(YEAR(B823),"0"))</f>
        <v/>
      </c>
    </row>
    <row r="824" customFormat="false" ht="15" hidden="false" customHeight="false" outlineLevel="0" collapsed="false">
      <c r="B824" s="28"/>
      <c r="C824" s="24" t="str">
        <f aca="false">IF(B824="","",DATE(YEAR(B824),MONTH(B824),1))</f>
        <v/>
      </c>
      <c r="N824" s="26" t="str">
        <f aca="false">IF(L824="","",L824*M824)</f>
        <v/>
      </c>
      <c r="P824" s="26" t="str">
        <f aca="false">IF(L824="","",N824-L824*O824)</f>
        <v/>
      </c>
      <c r="T824" s="22" t="str">
        <f aca="false">IF(R824="","",IF(R824&lt;=Q824,"Yes","No"))</f>
        <v/>
      </c>
      <c r="U824" s="22" t="str">
        <f aca="false">IF(B824="","",TEXT(YEAR(B824),"0"))</f>
        <v/>
      </c>
    </row>
    <row r="825" customFormat="false" ht="15" hidden="false" customHeight="false" outlineLevel="0" collapsed="false">
      <c r="B825" s="28"/>
      <c r="C825" s="24" t="str">
        <f aca="false">IF(B825="","",DATE(YEAR(B825),MONTH(B825),1))</f>
        <v/>
      </c>
      <c r="N825" s="26" t="str">
        <f aca="false">IF(L825="","",L825*M825)</f>
        <v/>
      </c>
      <c r="P825" s="26" t="str">
        <f aca="false">IF(L825="","",N825-L825*O825)</f>
        <v/>
      </c>
      <c r="T825" s="22" t="str">
        <f aca="false">IF(R825="","",IF(R825&lt;=Q825,"Yes","No"))</f>
        <v/>
      </c>
      <c r="U825" s="22" t="str">
        <f aca="false">IF(B825="","",TEXT(YEAR(B825),"0"))</f>
        <v/>
      </c>
    </row>
    <row r="826" customFormat="false" ht="15" hidden="false" customHeight="false" outlineLevel="0" collapsed="false">
      <c r="B826" s="28"/>
      <c r="C826" s="24" t="str">
        <f aca="false">IF(B826="","",DATE(YEAR(B826),MONTH(B826),1))</f>
        <v/>
      </c>
      <c r="N826" s="26" t="str">
        <f aca="false">IF(L826="","",L826*M826)</f>
        <v/>
      </c>
      <c r="P826" s="26" t="str">
        <f aca="false">IF(L826="","",N826-L826*O826)</f>
        <v/>
      </c>
      <c r="T826" s="22" t="str">
        <f aca="false">IF(R826="","",IF(R826&lt;=Q826,"Yes","No"))</f>
        <v/>
      </c>
      <c r="U826" s="22" t="str">
        <f aca="false">IF(B826="","",TEXT(YEAR(B826),"0"))</f>
        <v/>
      </c>
    </row>
    <row r="827" customFormat="false" ht="15" hidden="false" customHeight="false" outlineLevel="0" collapsed="false">
      <c r="B827" s="28"/>
      <c r="C827" s="24" t="str">
        <f aca="false">IF(B827="","",DATE(YEAR(B827),MONTH(B827),1))</f>
        <v/>
      </c>
      <c r="N827" s="26" t="str">
        <f aca="false">IF(L827="","",L827*M827)</f>
        <v/>
      </c>
      <c r="P827" s="26" t="str">
        <f aca="false">IF(L827="","",N827-L827*O827)</f>
        <v/>
      </c>
      <c r="T827" s="22" t="str">
        <f aca="false">IF(R827="","",IF(R827&lt;=Q827,"Yes","No"))</f>
        <v/>
      </c>
      <c r="U827" s="22" t="str">
        <f aca="false">IF(B827="","",TEXT(YEAR(B827),"0"))</f>
        <v/>
      </c>
    </row>
    <row r="828" customFormat="false" ht="15" hidden="false" customHeight="false" outlineLevel="0" collapsed="false">
      <c r="B828" s="28"/>
      <c r="C828" s="24" t="str">
        <f aca="false">IF(B828="","",DATE(YEAR(B828),MONTH(B828),1))</f>
        <v/>
      </c>
      <c r="N828" s="26" t="str">
        <f aca="false">IF(L828="","",L828*M828)</f>
        <v/>
      </c>
      <c r="P828" s="26" t="str">
        <f aca="false">IF(L828="","",N828-L828*O828)</f>
        <v/>
      </c>
      <c r="T828" s="22" t="str">
        <f aca="false">IF(R828="","",IF(R828&lt;=Q828,"Yes","No"))</f>
        <v/>
      </c>
      <c r="U828" s="22" t="str">
        <f aca="false">IF(B828="","",TEXT(YEAR(B828),"0"))</f>
        <v/>
      </c>
    </row>
    <row r="829" customFormat="false" ht="15" hidden="false" customHeight="false" outlineLevel="0" collapsed="false">
      <c r="B829" s="28"/>
      <c r="C829" s="24" t="str">
        <f aca="false">IF(B829="","",DATE(YEAR(B829),MONTH(B829),1))</f>
        <v/>
      </c>
      <c r="N829" s="26" t="str">
        <f aca="false">IF(L829="","",L829*M829)</f>
        <v/>
      </c>
      <c r="P829" s="26" t="str">
        <f aca="false">IF(L829="","",N829-L829*O829)</f>
        <v/>
      </c>
      <c r="T829" s="22" t="str">
        <f aca="false">IF(R829="","",IF(R829&lt;=Q829,"Yes","No"))</f>
        <v/>
      </c>
      <c r="U829" s="22" t="str">
        <f aca="false">IF(B829="","",TEXT(YEAR(B829),"0"))</f>
        <v/>
      </c>
    </row>
    <row r="830" customFormat="false" ht="15" hidden="false" customHeight="false" outlineLevel="0" collapsed="false">
      <c r="B830" s="28"/>
      <c r="C830" s="24" t="str">
        <f aca="false">IF(B830="","",DATE(YEAR(B830),MONTH(B830),1))</f>
        <v/>
      </c>
      <c r="N830" s="26" t="str">
        <f aca="false">IF(L830="","",L830*M830)</f>
        <v/>
      </c>
      <c r="P830" s="26" t="str">
        <f aca="false">IF(L830="","",N830-L830*O830)</f>
        <v/>
      </c>
      <c r="T830" s="22" t="str">
        <f aca="false">IF(R830="","",IF(R830&lt;=Q830,"Yes","No"))</f>
        <v/>
      </c>
      <c r="U830" s="22" t="str">
        <f aca="false">IF(B830="","",TEXT(YEAR(B830),"0"))</f>
        <v/>
      </c>
    </row>
    <row r="831" customFormat="false" ht="15" hidden="false" customHeight="false" outlineLevel="0" collapsed="false">
      <c r="B831" s="28"/>
      <c r="C831" s="24" t="str">
        <f aca="false">IF(B831="","",DATE(YEAR(B831),MONTH(B831),1))</f>
        <v/>
      </c>
      <c r="N831" s="26" t="str">
        <f aca="false">IF(L831="","",L831*M831)</f>
        <v/>
      </c>
      <c r="P831" s="26" t="str">
        <f aca="false">IF(L831="","",N831-L831*O831)</f>
        <v/>
      </c>
      <c r="T831" s="22" t="str">
        <f aca="false">IF(R831="","",IF(R831&lt;=Q831,"Yes","No"))</f>
        <v/>
      </c>
      <c r="U831" s="22" t="str">
        <f aca="false">IF(B831="","",TEXT(YEAR(B831),"0"))</f>
        <v/>
      </c>
    </row>
    <row r="832" customFormat="false" ht="15" hidden="false" customHeight="false" outlineLevel="0" collapsed="false">
      <c r="B832" s="28"/>
      <c r="C832" s="24" t="str">
        <f aca="false">IF(B832="","",DATE(YEAR(B832),MONTH(B832),1))</f>
        <v/>
      </c>
      <c r="N832" s="26" t="str">
        <f aca="false">IF(L832="","",L832*M832)</f>
        <v/>
      </c>
      <c r="P832" s="26" t="str">
        <f aca="false">IF(L832="","",N832-L832*O832)</f>
        <v/>
      </c>
      <c r="T832" s="22" t="str">
        <f aca="false">IF(R832="","",IF(R832&lt;=Q832,"Yes","No"))</f>
        <v/>
      </c>
      <c r="U832" s="22" t="str">
        <f aca="false">IF(B832="","",TEXT(YEAR(B832),"0"))</f>
        <v/>
      </c>
    </row>
    <row r="833" customFormat="false" ht="15" hidden="false" customHeight="false" outlineLevel="0" collapsed="false">
      <c r="B833" s="28"/>
      <c r="C833" s="24" t="str">
        <f aca="false">IF(B833="","",DATE(YEAR(B833),MONTH(B833),1))</f>
        <v/>
      </c>
      <c r="N833" s="26" t="str">
        <f aca="false">IF(L833="","",L833*M833)</f>
        <v/>
      </c>
      <c r="P833" s="26" t="str">
        <f aca="false">IF(L833="","",N833-L833*O833)</f>
        <v/>
      </c>
      <c r="T833" s="22" t="str">
        <f aca="false">IF(R833="","",IF(R833&lt;=Q833,"Yes","No"))</f>
        <v/>
      </c>
      <c r="U833" s="22" t="str">
        <f aca="false">IF(B833="","",TEXT(YEAR(B833),"0"))</f>
        <v/>
      </c>
    </row>
    <row r="834" customFormat="false" ht="15" hidden="false" customHeight="false" outlineLevel="0" collapsed="false">
      <c r="B834" s="28"/>
      <c r="C834" s="24" t="str">
        <f aca="false">IF(B834="","",DATE(YEAR(B834),MONTH(B834),1))</f>
        <v/>
      </c>
      <c r="N834" s="26" t="str">
        <f aca="false">IF(L834="","",L834*M834)</f>
        <v/>
      </c>
      <c r="P834" s="26" t="str">
        <f aca="false">IF(L834="","",N834-L834*O834)</f>
        <v/>
      </c>
      <c r="T834" s="22" t="str">
        <f aca="false">IF(R834="","",IF(R834&lt;=Q834,"Yes","No"))</f>
        <v/>
      </c>
      <c r="U834" s="22" t="str">
        <f aca="false">IF(B834="","",TEXT(YEAR(B834),"0"))</f>
        <v/>
      </c>
    </row>
    <row r="835" customFormat="false" ht="15" hidden="false" customHeight="false" outlineLevel="0" collapsed="false">
      <c r="B835" s="28"/>
      <c r="C835" s="24" t="str">
        <f aca="false">IF(B835="","",DATE(YEAR(B835),MONTH(B835),1))</f>
        <v/>
      </c>
      <c r="N835" s="26" t="str">
        <f aca="false">IF(L835="","",L835*M835)</f>
        <v/>
      </c>
      <c r="P835" s="26" t="str">
        <f aca="false">IF(L835="","",N835-L835*O835)</f>
        <v/>
      </c>
      <c r="T835" s="22" t="str">
        <f aca="false">IF(R835="","",IF(R835&lt;=Q835,"Yes","No"))</f>
        <v/>
      </c>
      <c r="U835" s="22" t="str">
        <f aca="false">IF(B835="","",TEXT(YEAR(B835),"0"))</f>
        <v/>
      </c>
    </row>
    <row r="836" customFormat="false" ht="15" hidden="false" customHeight="false" outlineLevel="0" collapsed="false">
      <c r="B836" s="28"/>
      <c r="C836" s="24" t="str">
        <f aca="false">IF(B836="","",DATE(YEAR(B836),MONTH(B836),1))</f>
        <v/>
      </c>
      <c r="N836" s="26" t="str">
        <f aca="false">IF(L836="","",L836*M836)</f>
        <v/>
      </c>
      <c r="P836" s="26" t="str">
        <f aca="false">IF(L836="","",N836-L836*O836)</f>
        <v/>
      </c>
      <c r="T836" s="22" t="str">
        <f aca="false">IF(R836="","",IF(R836&lt;=Q836,"Yes","No"))</f>
        <v/>
      </c>
      <c r="U836" s="22" t="str">
        <f aca="false">IF(B836="","",TEXT(YEAR(B836),"0"))</f>
        <v/>
      </c>
    </row>
    <row r="837" customFormat="false" ht="15" hidden="false" customHeight="false" outlineLevel="0" collapsed="false">
      <c r="B837" s="28"/>
      <c r="C837" s="24" t="str">
        <f aca="false">IF(B837="","",DATE(YEAR(B837),MONTH(B837),1))</f>
        <v/>
      </c>
      <c r="N837" s="26" t="str">
        <f aca="false">IF(L837="","",L837*M837)</f>
        <v/>
      </c>
      <c r="P837" s="26" t="str">
        <f aca="false">IF(L837="","",N837-L837*O837)</f>
        <v/>
      </c>
      <c r="T837" s="22" t="str">
        <f aca="false">IF(R837="","",IF(R837&lt;=Q837,"Yes","No"))</f>
        <v/>
      </c>
      <c r="U837" s="22" t="str">
        <f aca="false">IF(B837="","",TEXT(YEAR(B837),"0"))</f>
        <v/>
      </c>
    </row>
    <row r="838" customFormat="false" ht="15" hidden="false" customHeight="false" outlineLevel="0" collapsed="false">
      <c r="B838" s="28"/>
      <c r="C838" s="24" t="str">
        <f aca="false">IF(B838="","",DATE(YEAR(B838),MONTH(B838),1))</f>
        <v/>
      </c>
      <c r="N838" s="26" t="str">
        <f aca="false">IF(L838="","",L838*M838)</f>
        <v/>
      </c>
      <c r="P838" s="26" t="str">
        <f aca="false">IF(L838="","",N838-L838*O838)</f>
        <v/>
      </c>
      <c r="T838" s="22" t="str">
        <f aca="false">IF(R838="","",IF(R838&lt;=Q838,"Yes","No"))</f>
        <v/>
      </c>
      <c r="U838" s="22" t="str">
        <f aca="false">IF(B838="","",TEXT(YEAR(B838),"0"))</f>
        <v/>
      </c>
    </row>
    <row r="839" customFormat="false" ht="15" hidden="false" customHeight="false" outlineLevel="0" collapsed="false">
      <c r="B839" s="28"/>
      <c r="C839" s="24" t="str">
        <f aca="false">IF(B839="","",DATE(YEAR(B839),MONTH(B839),1))</f>
        <v/>
      </c>
      <c r="N839" s="26" t="str">
        <f aca="false">IF(L839="","",L839*M839)</f>
        <v/>
      </c>
      <c r="P839" s="26" t="str">
        <f aca="false">IF(L839="","",N839-L839*O839)</f>
        <v/>
      </c>
      <c r="T839" s="22" t="str">
        <f aca="false">IF(R839="","",IF(R839&lt;=Q839,"Yes","No"))</f>
        <v/>
      </c>
      <c r="U839" s="22" t="str">
        <f aca="false">IF(B839="","",TEXT(YEAR(B839),"0"))</f>
        <v/>
      </c>
    </row>
    <row r="840" customFormat="false" ht="15" hidden="false" customHeight="false" outlineLevel="0" collapsed="false">
      <c r="B840" s="28"/>
      <c r="C840" s="24" t="str">
        <f aca="false">IF(B840="","",DATE(YEAR(B840),MONTH(B840),1))</f>
        <v/>
      </c>
      <c r="N840" s="26" t="str">
        <f aca="false">IF(L840="","",L840*M840)</f>
        <v/>
      </c>
      <c r="P840" s="26" t="str">
        <f aca="false">IF(L840="","",N840-L840*O840)</f>
        <v/>
      </c>
      <c r="T840" s="22" t="str">
        <f aca="false">IF(R840="","",IF(R840&lt;=Q840,"Yes","No"))</f>
        <v/>
      </c>
      <c r="U840" s="22" t="str">
        <f aca="false">IF(B840="","",TEXT(YEAR(B840),"0"))</f>
        <v/>
      </c>
    </row>
    <row r="841" customFormat="false" ht="15" hidden="false" customHeight="false" outlineLevel="0" collapsed="false">
      <c r="B841" s="28"/>
      <c r="C841" s="24" t="str">
        <f aca="false">IF(B841="","",DATE(YEAR(B841),MONTH(B841),1))</f>
        <v/>
      </c>
      <c r="N841" s="26" t="str">
        <f aca="false">IF(L841="","",L841*M841)</f>
        <v/>
      </c>
      <c r="P841" s="26" t="str">
        <f aca="false">IF(L841="","",N841-L841*O841)</f>
        <v/>
      </c>
      <c r="T841" s="22" t="str">
        <f aca="false">IF(R841="","",IF(R841&lt;=Q841,"Yes","No"))</f>
        <v/>
      </c>
      <c r="U841" s="22" t="str">
        <f aca="false">IF(B841="","",TEXT(YEAR(B841),"0"))</f>
        <v/>
      </c>
    </row>
    <row r="842" customFormat="false" ht="15" hidden="false" customHeight="false" outlineLevel="0" collapsed="false">
      <c r="B842" s="28"/>
      <c r="C842" s="24" t="str">
        <f aca="false">IF(B842="","",DATE(YEAR(B842),MONTH(B842),1))</f>
        <v/>
      </c>
      <c r="N842" s="26" t="str">
        <f aca="false">IF(L842="","",L842*M842)</f>
        <v/>
      </c>
      <c r="P842" s="26" t="str">
        <f aca="false">IF(L842="","",N842-L842*O842)</f>
        <v/>
      </c>
      <c r="T842" s="22" t="str">
        <f aca="false">IF(R842="","",IF(R842&lt;=Q842,"Yes","No"))</f>
        <v/>
      </c>
      <c r="U842" s="22" t="str">
        <f aca="false">IF(B842="","",TEXT(YEAR(B842),"0"))</f>
        <v/>
      </c>
    </row>
    <row r="843" customFormat="false" ht="15" hidden="false" customHeight="false" outlineLevel="0" collapsed="false">
      <c r="B843" s="28"/>
      <c r="C843" s="24" t="str">
        <f aca="false">IF(B843="","",DATE(YEAR(B843),MONTH(B843),1))</f>
        <v/>
      </c>
      <c r="N843" s="26" t="str">
        <f aca="false">IF(L843="","",L843*M843)</f>
        <v/>
      </c>
      <c r="P843" s="26" t="str">
        <f aca="false">IF(L843="","",N843-L843*O843)</f>
        <v/>
      </c>
      <c r="T843" s="22" t="str">
        <f aca="false">IF(R843="","",IF(R843&lt;=Q843,"Yes","No"))</f>
        <v/>
      </c>
      <c r="U843" s="22" t="str">
        <f aca="false">IF(B843="","",TEXT(YEAR(B843),"0"))</f>
        <v/>
      </c>
    </row>
    <row r="844" customFormat="false" ht="15" hidden="false" customHeight="false" outlineLevel="0" collapsed="false">
      <c r="B844" s="28"/>
      <c r="C844" s="24" t="str">
        <f aca="false">IF(B844="","",DATE(YEAR(B844),MONTH(B844),1))</f>
        <v/>
      </c>
      <c r="N844" s="26" t="str">
        <f aca="false">IF(L844="","",L844*M844)</f>
        <v/>
      </c>
      <c r="P844" s="26" t="str">
        <f aca="false">IF(L844="","",N844-L844*O844)</f>
        <v/>
      </c>
      <c r="T844" s="22" t="str">
        <f aca="false">IF(R844="","",IF(R844&lt;=Q844,"Yes","No"))</f>
        <v/>
      </c>
      <c r="U844" s="22" t="str">
        <f aca="false">IF(B844="","",TEXT(YEAR(B844),"0"))</f>
        <v/>
      </c>
    </row>
    <row r="845" customFormat="false" ht="15" hidden="false" customHeight="false" outlineLevel="0" collapsed="false">
      <c r="B845" s="28"/>
      <c r="C845" s="24" t="str">
        <f aca="false">IF(B845="","",DATE(YEAR(B845),MONTH(B845),1))</f>
        <v/>
      </c>
      <c r="N845" s="26" t="str">
        <f aca="false">IF(L845="","",L845*M845)</f>
        <v/>
      </c>
      <c r="P845" s="26" t="str">
        <f aca="false">IF(L845="","",N845-L845*O845)</f>
        <v/>
      </c>
      <c r="T845" s="22" t="str">
        <f aca="false">IF(R845="","",IF(R845&lt;=Q845,"Yes","No"))</f>
        <v/>
      </c>
      <c r="U845" s="22" t="str">
        <f aca="false">IF(B845="","",TEXT(YEAR(B845),"0"))</f>
        <v/>
      </c>
    </row>
    <row r="846" customFormat="false" ht="15" hidden="false" customHeight="false" outlineLevel="0" collapsed="false">
      <c r="B846" s="28"/>
      <c r="C846" s="24" t="str">
        <f aca="false">IF(B846="","",DATE(YEAR(B846),MONTH(B846),1))</f>
        <v/>
      </c>
      <c r="N846" s="26" t="str">
        <f aca="false">IF(L846="","",L846*M846)</f>
        <v/>
      </c>
      <c r="P846" s="26" t="str">
        <f aca="false">IF(L846="","",N846-L846*O846)</f>
        <v/>
      </c>
      <c r="T846" s="22" t="str">
        <f aca="false">IF(R846="","",IF(R846&lt;=Q846,"Yes","No"))</f>
        <v/>
      </c>
      <c r="U846" s="22" t="str">
        <f aca="false">IF(B846="","",TEXT(YEAR(B846),"0"))</f>
        <v/>
      </c>
    </row>
    <row r="847" customFormat="false" ht="15" hidden="false" customHeight="false" outlineLevel="0" collapsed="false">
      <c r="B847" s="28"/>
      <c r="C847" s="24" t="str">
        <f aca="false">IF(B847="","",DATE(YEAR(B847),MONTH(B847),1))</f>
        <v/>
      </c>
      <c r="N847" s="26" t="str">
        <f aca="false">IF(L847="","",L847*M847)</f>
        <v/>
      </c>
      <c r="P847" s="26" t="str">
        <f aca="false">IF(L847="","",N847-L847*O847)</f>
        <v/>
      </c>
      <c r="T847" s="22" t="str">
        <f aca="false">IF(R847="","",IF(R847&lt;=Q847,"Yes","No"))</f>
        <v/>
      </c>
      <c r="U847" s="22" t="str">
        <f aca="false">IF(B847="","",TEXT(YEAR(B847),"0"))</f>
        <v/>
      </c>
    </row>
    <row r="848" customFormat="false" ht="15" hidden="false" customHeight="false" outlineLevel="0" collapsed="false">
      <c r="B848" s="28"/>
      <c r="C848" s="24" t="str">
        <f aca="false">IF(B848="","",DATE(YEAR(B848),MONTH(B848),1))</f>
        <v/>
      </c>
      <c r="N848" s="26" t="str">
        <f aca="false">IF(L848="","",L848*M848)</f>
        <v/>
      </c>
      <c r="P848" s="26" t="str">
        <f aca="false">IF(L848="","",N848-L848*O848)</f>
        <v/>
      </c>
      <c r="T848" s="22" t="str">
        <f aca="false">IF(R848="","",IF(R848&lt;=Q848,"Yes","No"))</f>
        <v/>
      </c>
      <c r="U848" s="22" t="str">
        <f aca="false">IF(B848="","",TEXT(YEAR(B848),"0"))</f>
        <v/>
      </c>
    </row>
    <row r="849" customFormat="false" ht="15" hidden="false" customHeight="false" outlineLevel="0" collapsed="false">
      <c r="B849" s="28"/>
      <c r="C849" s="24" t="str">
        <f aca="false">IF(B849="","",DATE(YEAR(B849),MONTH(B849),1))</f>
        <v/>
      </c>
      <c r="N849" s="26" t="str">
        <f aca="false">IF(L849="","",L849*M849)</f>
        <v/>
      </c>
      <c r="P849" s="26" t="str">
        <f aca="false">IF(L849="","",N849-L849*O849)</f>
        <v/>
      </c>
      <c r="T849" s="22" t="str">
        <f aca="false">IF(R849="","",IF(R849&lt;=Q849,"Yes","No"))</f>
        <v/>
      </c>
      <c r="U849" s="22" t="str">
        <f aca="false">IF(B849="","",TEXT(YEAR(B849),"0"))</f>
        <v/>
      </c>
    </row>
    <row r="850" customFormat="false" ht="15" hidden="false" customHeight="false" outlineLevel="0" collapsed="false">
      <c r="B850" s="28"/>
      <c r="C850" s="24" t="str">
        <f aca="false">IF(B850="","",DATE(YEAR(B850),MONTH(B850),1))</f>
        <v/>
      </c>
      <c r="N850" s="26" t="str">
        <f aca="false">IF(L850="","",L850*M850)</f>
        <v/>
      </c>
      <c r="P850" s="26" t="str">
        <f aca="false">IF(L850="","",N850-L850*O850)</f>
        <v/>
      </c>
      <c r="T850" s="22" t="str">
        <f aca="false">IF(R850="","",IF(R850&lt;=Q850,"Yes","No"))</f>
        <v/>
      </c>
      <c r="U850" s="22" t="str">
        <f aca="false">IF(B850="","",TEXT(YEAR(B850),"0"))</f>
        <v/>
      </c>
    </row>
    <row r="851" customFormat="false" ht="15" hidden="false" customHeight="false" outlineLevel="0" collapsed="false">
      <c r="B851" s="28"/>
      <c r="C851" s="24" t="str">
        <f aca="false">IF(B851="","",DATE(YEAR(B851),MONTH(B851),1))</f>
        <v/>
      </c>
      <c r="N851" s="26" t="str">
        <f aca="false">IF(L851="","",L851*M851)</f>
        <v/>
      </c>
      <c r="P851" s="26" t="str">
        <f aca="false">IF(L851="","",N851-L851*O851)</f>
        <v/>
      </c>
      <c r="T851" s="22" t="str">
        <f aca="false">IF(R851="","",IF(R851&lt;=Q851,"Yes","No"))</f>
        <v/>
      </c>
      <c r="U851" s="22" t="str">
        <f aca="false">IF(B851="","",TEXT(YEAR(B851),"0"))</f>
        <v/>
      </c>
    </row>
    <row r="852" customFormat="false" ht="15" hidden="false" customHeight="false" outlineLevel="0" collapsed="false">
      <c r="B852" s="28"/>
      <c r="C852" s="24" t="str">
        <f aca="false">IF(B852="","",DATE(YEAR(B852),MONTH(B852),1))</f>
        <v/>
      </c>
      <c r="N852" s="26" t="str">
        <f aca="false">IF(L852="","",L852*M852)</f>
        <v/>
      </c>
      <c r="P852" s="26" t="str">
        <f aca="false">IF(L852="","",N852-L852*O852)</f>
        <v/>
      </c>
      <c r="T852" s="22" t="str">
        <f aca="false">IF(R852="","",IF(R852&lt;=Q852,"Yes","No"))</f>
        <v/>
      </c>
      <c r="U852" s="22" t="str">
        <f aca="false">IF(B852="","",TEXT(YEAR(B852),"0"))</f>
        <v/>
      </c>
    </row>
    <row r="853" customFormat="false" ht="15" hidden="false" customHeight="false" outlineLevel="0" collapsed="false">
      <c r="B853" s="28"/>
      <c r="C853" s="24" t="str">
        <f aca="false">IF(B853="","",DATE(YEAR(B853),MONTH(B853),1))</f>
        <v/>
      </c>
      <c r="N853" s="26" t="str">
        <f aca="false">IF(L853="","",L853*M853)</f>
        <v/>
      </c>
      <c r="P853" s="26" t="str">
        <f aca="false">IF(L853="","",N853-L853*O853)</f>
        <v/>
      </c>
      <c r="T853" s="22" t="str">
        <f aca="false">IF(R853="","",IF(R853&lt;=Q853,"Yes","No"))</f>
        <v/>
      </c>
      <c r="U853" s="22" t="str">
        <f aca="false">IF(B853="","",TEXT(YEAR(B853),"0"))</f>
        <v/>
      </c>
    </row>
    <row r="854" customFormat="false" ht="15" hidden="false" customHeight="false" outlineLevel="0" collapsed="false">
      <c r="B854" s="28"/>
      <c r="C854" s="24" t="str">
        <f aca="false">IF(B854="","",DATE(YEAR(B854),MONTH(B854),1))</f>
        <v/>
      </c>
      <c r="N854" s="26" t="str">
        <f aca="false">IF(L854="","",L854*M854)</f>
        <v/>
      </c>
      <c r="P854" s="26" t="str">
        <f aca="false">IF(L854="","",N854-L854*O854)</f>
        <v/>
      </c>
      <c r="T854" s="22" t="str">
        <f aca="false">IF(R854="","",IF(R854&lt;=Q854,"Yes","No"))</f>
        <v/>
      </c>
      <c r="U854" s="22" t="str">
        <f aca="false">IF(B854="","",TEXT(YEAR(B854),"0"))</f>
        <v/>
      </c>
    </row>
    <row r="855" customFormat="false" ht="15" hidden="false" customHeight="false" outlineLevel="0" collapsed="false">
      <c r="B855" s="28"/>
      <c r="C855" s="24" t="str">
        <f aca="false">IF(B855="","",DATE(YEAR(B855),MONTH(B855),1))</f>
        <v/>
      </c>
      <c r="N855" s="26" t="str">
        <f aca="false">IF(L855="","",L855*M855)</f>
        <v/>
      </c>
      <c r="P855" s="26" t="str">
        <f aca="false">IF(L855="","",N855-L855*O855)</f>
        <v/>
      </c>
      <c r="T855" s="22" t="str">
        <f aca="false">IF(R855="","",IF(R855&lt;=Q855,"Yes","No"))</f>
        <v/>
      </c>
      <c r="U855" s="22" t="str">
        <f aca="false">IF(B855="","",TEXT(YEAR(B855),"0"))</f>
        <v/>
      </c>
    </row>
    <row r="856" customFormat="false" ht="15" hidden="false" customHeight="false" outlineLevel="0" collapsed="false">
      <c r="B856" s="28"/>
      <c r="C856" s="24" t="str">
        <f aca="false">IF(B856="","",DATE(YEAR(B856),MONTH(B856),1))</f>
        <v/>
      </c>
      <c r="N856" s="26" t="str">
        <f aca="false">IF(L856="","",L856*M856)</f>
        <v/>
      </c>
      <c r="P856" s="26" t="str">
        <f aca="false">IF(L856="","",N856-L856*O856)</f>
        <v/>
      </c>
      <c r="T856" s="22" t="str">
        <f aca="false">IF(R856="","",IF(R856&lt;=Q856,"Yes","No"))</f>
        <v/>
      </c>
      <c r="U856" s="22" t="str">
        <f aca="false">IF(B856="","",TEXT(YEAR(B856),"0"))</f>
        <v/>
      </c>
    </row>
    <row r="857" customFormat="false" ht="15" hidden="false" customHeight="false" outlineLevel="0" collapsed="false">
      <c r="B857" s="28"/>
      <c r="C857" s="24" t="str">
        <f aca="false">IF(B857="","",DATE(YEAR(B857),MONTH(B857),1))</f>
        <v/>
      </c>
      <c r="N857" s="26" t="str">
        <f aca="false">IF(L857="","",L857*M857)</f>
        <v/>
      </c>
      <c r="P857" s="26" t="str">
        <f aca="false">IF(L857="","",N857-L857*O857)</f>
        <v/>
      </c>
      <c r="T857" s="22" t="str">
        <f aca="false">IF(R857="","",IF(R857&lt;=Q857,"Yes","No"))</f>
        <v/>
      </c>
      <c r="U857" s="22" t="str">
        <f aca="false">IF(B857="","",TEXT(YEAR(B857),"0"))</f>
        <v/>
      </c>
    </row>
    <row r="858" customFormat="false" ht="15" hidden="false" customHeight="false" outlineLevel="0" collapsed="false">
      <c r="B858" s="28"/>
      <c r="C858" s="24" t="str">
        <f aca="false">IF(B858="","",DATE(YEAR(B858),MONTH(B858),1))</f>
        <v/>
      </c>
      <c r="N858" s="26" t="str">
        <f aca="false">IF(L858="","",L858*M858)</f>
        <v/>
      </c>
      <c r="P858" s="26" t="str">
        <f aca="false">IF(L858="","",N858-L858*O858)</f>
        <v/>
      </c>
      <c r="T858" s="22" t="str">
        <f aca="false">IF(R858="","",IF(R858&lt;=Q858,"Yes","No"))</f>
        <v/>
      </c>
      <c r="U858" s="22" t="str">
        <f aca="false">IF(B858="","",TEXT(YEAR(B858),"0"))</f>
        <v/>
      </c>
    </row>
    <row r="859" customFormat="false" ht="15" hidden="false" customHeight="false" outlineLevel="0" collapsed="false">
      <c r="B859" s="28"/>
      <c r="C859" s="24" t="str">
        <f aca="false">IF(B859="","",DATE(YEAR(B859),MONTH(B859),1))</f>
        <v/>
      </c>
      <c r="N859" s="26" t="str">
        <f aca="false">IF(L859="","",L859*M859)</f>
        <v/>
      </c>
      <c r="P859" s="26" t="str">
        <f aca="false">IF(L859="","",N859-L859*O859)</f>
        <v/>
      </c>
      <c r="T859" s="22" t="str">
        <f aca="false">IF(R859="","",IF(R859&lt;=Q859,"Yes","No"))</f>
        <v/>
      </c>
      <c r="U859" s="22" t="str">
        <f aca="false">IF(B859="","",TEXT(YEAR(B859),"0"))</f>
        <v/>
      </c>
    </row>
    <row r="860" customFormat="false" ht="15" hidden="false" customHeight="false" outlineLevel="0" collapsed="false">
      <c r="B860" s="28"/>
      <c r="C860" s="24" t="str">
        <f aca="false">IF(B860="","",DATE(YEAR(B860),MONTH(B860),1))</f>
        <v/>
      </c>
      <c r="N860" s="26" t="str">
        <f aca="false">IF(L860="","",L860*M860)</f>
        <v/>
      </c>
      <c r="P860" s="26" t="str">
        <f aca="false">IF(L860="","",N860-L860*O860)</f>
        <v/>
      </c>
      <c r="T860" s="22" t="str">
        <f aca="false">IF(R860="","",IF(R860&lt;=Q860,"Yes","No"))</f>
        <v/>
      </c>
      <c r="U860" s="22" t="str">
        <f aca="false">IF(B860="","",TEXT(YEAR(B860),"0"))</f>
        <v/>
      </c>
    </row>
    <row r="861" customFormat="false" ht="15" hidden="false" customHeight="false" outlineLevel="0" collapsed="false">
      <c r="B861" s="28"/>
      <c r="C861" s="24" t="str">
        <f aca="false">IF(B861="","",DATE(YEAR(B861),MONTH(B861),1))</f>
        <v/>
      </c>
      <c r="N861" s="26" t="str">
        <f aca="false">IF(L861="","",L861*M861)</f>
        <v/>
      </c>
      <c r="P861" s="26" t="str">
        <f aca="false">IF(L861="","",N861-L861*O861)</f>
        <v/>
      </c>
      <c r="T861" s="22" t="str">
        <f aca="false">IF(R861="","",IF(R861&lt;=Q861,"Yes","No"))</f>
        <v/>
      </c>
      <c r="U861" s="22" t="str">
        <f aca="false">IF(B861="","",TEXT(YEAR(B861),"0"))</f>
        <v/>
      </c>
    </row>
    <row r="862" customFormat="false" ht="15" hidden="false" customHeight="false" outlineLevel="0" collapsed="false">
      <c r="B862" s="28"/>
      <c r="C862" s="24" t="str">
        <f aca="false">IF(B862="","",DATE(YEAR(B862),MONTH(B862),1))</f>
        <v/>
      </c>
      <c r="N862" s="26" t="str">
        <f aca="false">IF(L862="","",L862*M862)</f>
        <v/>
      </c>
      <c r="P862" s="26" t="str">
        <f aca="false">IF(L862="","",N862-L862*O862)</f>
        <v/>
      </c>
      <c r="T862" s="22" t="str">
        <f aca="false">IF(R862="","",IF(R862&lt;=Q862,"Yes","No"))</f>
        <v/>
      </c>
      <c r="U862" s="22" t="str">
        <f aca="false">IF(B862="","",TEXT(YEAR(B862),"0"))</f>
        <v/>
      </c>
    </row>
    <row r="863" customFormat="false" ht="15" hidden="false" customHeight="false" outlineLevel="0" collapsed="false">
      <c r="B863" s="28"/>
      <c r="C863" s="24" t="str">
        <f aca="false">IF(B863="","",DATE(YEAR(B863),MONTH(B863),1))</f>
        <v/>
      </c>
      <c r="N863" s="26" t="str">
        <f aca="false">IF(L863="","",L863*M863)</f>
        <v/>
      </c>
      <c r="P863" s="26" t="str">
        <f aca="false">IF(L863="","",N863-L863*O863)</f>
        <v/>
      </c>
      <c r="T863" s="22" t="str">
        <f aca="false">IF(R863="","",IF(R863&lt;=Q863,"Yes","No"))</f>
        <v/>
      </c>
      <c r="U863" s="22" t="str">
        <f aca="false">IF(B863="","",TEXT(YEAR(B863),"0"))</f>
        <v/>
      </c>
    </row>
    <row r="864" customFormat="false" ht="15" hidden="false" customHeight="false" outlineLevel="0" collapsed="false">
      <c r="B864" s="28"/>
      <c r="C864" s="24" t="str">
        <f aca="false">IF(B864="","",DATE(YEAR(B864),MONTH(B864),1))</f>
        <v/>
      </c>
      <c r="N864" s="26" t="str">
        <f aca="false">IF(L864="","",L864*M864)</f>
        <v/>
      </c>
      <c r="P864" s="26" t="str">
        <f aca="false">IF(L864="","",N864-L864*O864)</f>
        <v/>
      </c>
      <c r="T864" s="22" t="str">
        <f aca="false">IF(R864="","",IF(R864&lt;=Q864,"Yes","No"))</f>
        <v/>
      </c>
      <c r="U864" s="22" t="str">
        <f aca="false">IF(B864="","",TEXT(YEAR(B864),"0"))</f>
        <v/>
      </c>
    </row>
    <row r="865" customFormat="false" ht="15" hidden="false" customHeight="false" outlineLevel="0" collapsed="false">
      <c r="B865" s="28"/>
      <c r="C865" s="24" t="str">
        <f aca="false">IF(B865="","",DATE(YEAR(B865),MONTH(B865),1))</f>
        <v/>
      </c>
      <c r="N865" s="26" t="str">
        <f aca="false">IF(L865="","",L865*M865)</f>
        <v/>
      </c>
      <c r="P865" s="26" t="str">
        <f aca="false">IF(L865="","",N865-L865*O865)</f>
        <v/>
      </c>
      <c r="T865" s="22" t="str">
        <f aca="false">IF(R865="","",IF(R865&lt;=Q865,"Yes","No"))</f>
        <v/>
      </c>
      <c r="U865" s="22" t="str">
        <f aca="false">IF(B865="","",TEXT(YEAR(B865),"0"))</f>
        <v/>
      </c>
    </row>
    <row r="866" customFormat="false" ht="15" hidden="false" customHeight="false" outlineLevel="0" collapsed="false">
      <c r="B866" s="28"/>
      <c r="C866" s="24" t="str">
        <f aca="false">IF(B866="","",DATE(YEAR(B866),MONTH(B866),1))</f>
        <v/>
      </c>
      <c r="N866" s="26" t="str">
        <f aca="false">IF(L866="","",L866*M866)</f>
        <v/>
      </c>
      <c r="P866" s="26" t="str">
        <f aca="false">IF(L866="","",N866-L866*O866)</f>
        <v/>
      </c>
      <c r="T866" s="22" t="str">
        <f aca="false">IF(R866="","",IF(R866&lt;=Q866,"Yes","No"))</f>
        <v/>
      </c>
      <c r="U866" s="22" t="str">
        <f aca="false">IF(B866="","",TEXT(YEAR(B866),"0"))</f>
        <v/>
      </c>
    </row>
    <row r="867" customFormat="false" ht="15" hidden="false" customHeight="false" outlineLevel="0" collapsed="false">
      <c r="B867" s="28"/>
      <c r="C867" s="24" t="str">
        <f aca="false">IF(B867="","",DATE(YEAR(B867),MONTH(B867),1))</f>
        <v/>
      </c>
      <c r="N867" s="26" t="str">
        <f aca="false">IF(L867="","",L867*M867)</f>
        <v/>
      </c>
      <c r="P867" s="26" t="str">
        <f aca="false">IF(L867="","",N867-L867*O867)</f>
        <v/>
      </c>
      <c r="T867" s="22" t="str">
        <f aca="false">IF(R867="","",IF(R867&lt;=Q867,"Yes","No"))</f>
        <v/>
      </c>
      <c r="U867" s="22" t="str">
        <f aca="false">IF(B867="","",TEXT(YEAR(B867),"0"))</f>
        <v/>
      </c>
    </row>
    <row r="868" customFormat="false" ht="15" hidden="false" customHeight="false" outlineLevel="0" collapsed="false">
      <c r="B868" s="28"/>
      <c r="C868" s="24" t="str">
        <f aca="false">IF(B868="","",DATE(YEAR(B868),MONTH(B868),1))</f>
        <v/>
      </c>
      <c r="N868" s="26" t="str">
        <f aca="false">IF(L868="","",L868*M868)</f>
        <v/>
      </c>
      <c r="P868" s="26" t="str">
        <f aca="false">IF(L868="","",N868-L868*O868)</f>
        <v/>
      </c>
      <c r="T868" s="22" t="str">
        <f aca="false">IF(R868="","",IF(R868&lt;=Q868,"Yes","No"))</f>
        <v/>
      </c>
      <c r="U868" s="22" t="str">
        <f aca="false">IF(B868="","",TEXT(YEAR(B868),"0"))</f>
        <v/>
      </c>
    </row>
    <row r="869" customFormat="false" ht="15" hidden="false" customHeight="false" outlineLevel="0" collapsed="false">
      <c r="B869" s="28"/>
      <c r="C869" s="24" t="str">
        <f aca="false">IF(B869="","",DATE(YEAR(B869),MONTH(B869),1))</f>
        <v/>
      </c>
      <c r="N869" s="26" t="str">
        <f aca="false">IF(L869="","",L869*M869)</f>
        <v/>
      </c>
      <c r="P869" s="26" t="str">
        <f aca="false">IF(L869="","",N869-L869*O869)</f>
        <v/>
      </c>
      <c r="T869" s="22" t="str">
        <f aca="false">IF(R869="","",IF(R869&lt;=Q869,"Yes","No"))</f>
        <v/>
      </c>
      <c r="U869" s="22" t="str">
        <f aca="false">IF(B869="","",TEXT(YEAR(B869),"0"))</f>
        <v/>
      </c>
    </row>
    <row r="870" customFormat="false" ht="15" hidden="false" customHeight="false" outlineLevel="0" collapsed="false">
      <c r="B870" s="28"/>
      <c r="C870" s="24" t="str">
        <f aca="false">IF(B870="","",DATE(YEAR(B870),MONTH(B870),1))</f>
        <v/>
      </c>
      <c r="N870" s="26" t="str">
        <f aca="false">IF(L870="","",L870*M870)</f>
        <v/>
      </c>
      <c r="P870" s="26" t="str">
        <f aca="false">IF(L870="","",N870-L870*O870)</f>
        <v/>
      </c>
      <c r="T870" s="22" t="str">
        <f aca="false">IF(R870="","",IF(R870&lt;=Q870,"Yes","No"))</f>
        <v/>
      </c>
      <c r="U870" s="22" t="str">
        <f aca="false">IF(B870="","",TEXT(YEAR(B870),"0"))</f>
        <v/>
      </c>
    </row>
    <row r="871" customFormat="false" ht="15" hidden="false" customHeight="false" outlineLevel="0" collapsed="false">
      <c r="B871" s="28"/>
      <c r="C871" s="24" t="str">
        <f aca="false">IF(B871="","",DATE(YEAR(B871),MONTH(B871),1))</f>
        <v/>
      </c>
      <c r="N871" s="26" t="str">
        <f aca="false">IF(L871="","",L871*M871)</f>
        <v/>
      </c>
      <c r="P871" s="26" t="str">
        <f aca="false">IF(L871="","",N871-L871*O871)</f>
        <v/>
      </c>
      <c r="T871" s="22" t="str">
        <f aca="false">IF(R871="","",IF(R871&lt;=Q871,"Yes","No"))</f>
        <v/>
      </c>
      <c r="U871" s="22" t="str">
        <f aca="false">IF(B871="","",TEXT(YEAR(B871),"0"))</f>
        <v/>
      </c>
    </row>
    <row r="872" customFormat="false" ht="15" hidden="false" customHeight="false" outlineLevel="0" collapsed="false">
      <c r="B872" s="28"/>
      <c r="C872" s="24" t="str">
        <f aca="false">IF(B872="","",DATE(YEAR(B872),MONTH(B872),1))</f>
        <v/>
      </c>
      <c r="N872" s="26" t="str">
        <f aca="false">IF(L872="","",L872*M872)</f>
        <v/>
      </c>
      <c r="P872" s="26" t="str">
        <f aca="false">IF(L872="","",N872-L872*O872)</f>
        <v/>
      </c>
      <c r="T872" s="22" t="str">
        <f aca="false">IF(R872="","",IF(R872&lt;=Q872,"Yes","No"))</f>
        <v/>
      </c>
      <c r="U872" s="22" t="str">
        <f aca="false">IF(B872="","",TEXT(YEAR(B872),"0"))</f>
        <v/>
      </c>
    </row>
    <row r="873" customFormat="false" ht="15" hidden="false" customHeight="false" outlineLevel="0" collapsed="false">
      <c r="B873" s="28"/>
      <c r="C873" s="24" t="str">
        <f aca="false">IF(B873="","",DATE(YEAR(B873),MONTH(B873),1))</f>
        <v/>
      </c>
      <c r="N873" s="26" t="str">
        <f aca="false">IF(L873="","",L873*M873)</f>
        <v/>
      </c>
      <c r="P873" s="26" t="str">
        <f aca="false">IF(L873="","",N873-L873*O873)</f>
        <v/>
      </c>
      <c r="T873" s="22" t="str">
        <f aca="false">IF(R873="","",IF(R873&lt;=Q873,"Yes","No"))</f>
        <v/>
      </c>
      <c r="U873" s="22" t="str">
        <f aca="false">IF(B873="","",TEXT(YEAR(B873),"0"))</f>
        <v/>
      </c>
    </row>
    <row r="874" customFormat="false" ht="15" hidden="false" customHeight="false" outlineLevel="0" collapsed="false">
      <c r="B874" s="28"/>
      <c r="C874" s="24" t="str">
        <f aca="false">IF(B874="","",DATE(YEAR(B874),MONTH(B874),1))</f>
        <v/>
      </c>
      <c r="N874" s="26" t="str">
        <f aca="false">IF(L874="","",L874*M874)</f>
        <v/>
      </c>
      <c r="P874" s="26" t="str">
        <f aca="false">IF(L874="","",N874-L874*O874)</f>
        <v/>
      </c>
      <c r="T874" s="22" t="str">
        <f aca="false">IF(R874="","",IF(R874&lt;=Q874,"Yes","No"))</f>
        <v/>
      </c>
      <c r="U874" s="22" t="str">
        <f aca="false">IF(B874="","",TEXT(YEAR(B874),"0"))</f>
        <v/>
      </c>
    </row>
    <row r="875" customFormat="false" ht="15" hidden="false" customHeight="false" outlineLevel="0" collapsed="false">
      <c r="B875" s="28"/>
      <c r="C875" s="24" t="str">
        <f aca="false">IF(B875="","",DATE(YEAR(B875),MONTH(B875),1))</f>
        <v/>
      </c>
      <c r="N875" s="26" t="str">
        <f aca="false">IF(L875="","",L875*M875)</f>
        <v/>
      </c>
      <c r="P875" s="26" t="str">
        <f aca="false">IF(L875="","",N875-L875*O875)</f>
        <v/>
      </c>
      <c r="T875" s="22" t="str">
        <f aca="false">IF(R875="","",IF(R875&lt;=Q875,"Yes","No"))</f>
        <v/>
      </c>
      <c r="U875" s="22" t="str">
        <f aca="false">IF(B875="","",TEXT(YEAR(B875),"0"))</f>
        <v/>
      </c>
    </row>
    <row r="876" customFormat="false" ht="15" hidden="false" customHeight="false" outlineLevel="0" collapsed="false">
      <c r="B876" s="28"/>
      <c r="C876" s="24" t="str">
        <f aca="false">IF(B876="","",DATE(YEAR(B876),MONTH(B876),1))</f>
        <v/>
      </c>
      <c r="N876" s="26" t="str">
        <f aca="false">IF(L876="","",L876*M876)</f>
        <v/>
      </c>
      <c r="P876" s="26" t="str">
        <f aca="false">IF(L876="","",N876-L876*O876)</f>
        <v/>
      </c>
      <c r="T876" s="22" t="str">
        <f aca="false">IF(R876="","",IF(R876&lt;=Q876,"Yes","No"))</f>
        <v/>
      </c>
      <c r="U876" s="22" t="str">
        <f aca="false">IF(B876="","",TEXT(YEAR(B876),"0"))</f>
        <v/>
      </c>
    </row>
    <row r="877" customFormat="false" ht="15" hidden="false" customHeight="false" outlineLevel="0" collapsed="false">
      <c r="B877" s="28"/>
      <c r="C877" s="24" t="str">
        <f aca="false">IF(B877="","",DATE(YEAR(B877),MONTH(B877),1))</f>
        <v/>
      </c>
      <c r="N877" s="26" t="str">
        <f aca="false">IF(L877="","",L877*M877)</f>
        <v/>
      </c>
      <c r="P877" s="26" t="str">
        <f aca="false">IF(L877="","",N877-L877*O877)</f>
        <v/>
      </c>
      <c r="T877" s="22" t="str">
        <f aca="false">IF(R877="","",IF(R877&lt;=Q877,"Yes","No"))</f>
        <v/>
      </c>
      <c r="U877" s="22" t="str">
        <f aca="false">IF(B877="","",TEXT(YEAR(B877),"0"))</f>
        <v/>
      </c>
    </row>
    <row r="878" customFormat="false" ht="15" hidden="false" customHeight="false" outlineLevel="0" collapsed="false">
      <c r="B878" s="28"/>
      <c r="C878" s="24" t="str">
        <f aca="false">IF(B878="","",DATE(YEAR(B878),MONTH(B878),1))</f>
        <v/>
      </c>
      <c r="N878" s="26" t="str">
        <f aca="false">IF(L878="","",L878*M878)</f>
        <v/>
      </c>
      <c r="P878" s="26" t="str">
        <f aca="false">IF(L878="","",N878-L878*O878)</f>
        <v/>
      </c>
      <c r="T878" s="22" t="str">
        <f aca="false">IF(R878="","",IF(R878&lt;=Q878,"Yes","No"))</f>
        <v/>
      </c>
      <c r="U878" s="22" t="str">
        <f aca="false">IF(B878="","",TEXT(YEAR(B878),"0"))</f>
        <v/>
      </c>
    </row>
    <row r="879" customFormat="false" ht="15" hidden="false" customHeight="false" outlineLevel="0" collapsed="false">
      <c r="B879" s="28"/>
      <c r="C879" s="24" t="str">
        <f aca="false">IF(B879="","",DATE(YEAR(B879),MONTH(B879),1))</f>
        <v/>
      </c>
      <c r="N879" s="26" t="str">
        <f aca="false">IF(L879="","",L879*M879)</f>
        <v/>
      </c>
      <c r="P879" s="26" t="str">
        <f aca="false">IF(L879="","",N879-L879*O879)</f>
        <v/>
      </c>
      <c r="T879" s="22" t="str">
        <f aca="false">IF(R879="","",IF(R879&lt;=Q879,"Yes","No"))</f>
        <v/>
      </c>
      <c r="U879" s="22" t="str">
        <f aca="false">IF(B879="","",TEXT(YEAR(B879),"0"))</f>
        <v/>
      </c>
    </row>
    <row r="880" customFormat="false" ht="15" hidden="false" customHeight="false" outlineLevel="0" collapsed="false">
      <c r="B880" s="28"/>
      <c r="C880" s="24" t="str">
        <f aca="false">IF(B880="","",DATE(YEAR(B880),MONTH(B880),1))</f>
        <v/>
      </c>
      <c r="N880" s="26" t="str">
        <f aca="false">IF(L880="","",L880*M880)</f>
        <v/>
      </c>
      <c r="P880" s="26" t="str">
        <f aca="false">IF(L880="","",N880-L880*O880)</f>
        <v/>
      </c>
      <c r="T880" s="22" t="str">
        <f aca="false">IF(R880="","",IF(R880&lt;=Q880,"Yes","No"))</f>
        <v/>
      </c>
      <c r="U880" s="22" t="str">
        <f aca="false">IF(B880="","",TEXT(YEAR(B880),"0"))</f>
        <v/>
      </c>
    </row>
    <row r="881" customFormat="false" ht="15" hidden="false" customHeight="false" outlineLevel="0" collapsed="false">
      <c r="B881" s="28"/>
      <c r="C881" s="24" t="str">
        <f aca="false">IF(B881="","",DATE(YEAR(B881),MONTH(B881),1))</f>
        <v/>
      </c>
      <c r="N881" s="26" t="str">
        <f aca="false">IF(L881="","",L881*M881)</f>
        <v/>
      </c>
      <c r="P881" s="26" t="str">
        <f aca="false">IF(L881="","",N881-L881*O881)</f>
        <v/>
      </c>
      <c r="T881" s="22" t="str">
        <f aca="false">IF(R881="","",IF(R881&lt;=Q881,"Yes","No"))</f>
        <v/>
      </c>
      <c r="U881" s="22" t="str">
        <f aca="false">IF(B881="","",TEXT(YEAR(B881),"0"))</f>
        <v/>
      </c>
    </row>
    <row r="882" customFormat="false" ht="15" hidden="false" customHeight="false" outlineLevel="0" collapsed="false">
      <c r="B882" s="28"/>
      <c r="C882" s="24" t="str">
        <f aca="false">IF(B882="","",DATE(YEAR(B882),MONTH(B882),1))</f>
        <v/>
      </c>
      <c r="N882" s="26" t="str">
        <f aca="false">IF(L882="","",L882*M882)</f>
        <v/>
      </c>
      <c r="P882" s="26" t="str">
        <f aca="false">IF(L882="","",N882-L882*O882)</f>
        <v/>
      </c>
      <c r="T882" s="22" t="str">
        <f aca="false">IF(R882="","",IF(R882&lt;=Q882,"Yes","No"))</f>
        <v/>
      </c>
      <c r="U882" s="22" t="str">
        <f aca="false">IF(B882="","",TEXT(YEAR(B882),"0"))</f>
        <v/>
      </c>
    </row>
    <row r="883" customFormat="false" ht="15" hidden="false" customHeight="false" outlineLevel="0" collapsed="false">
      <c r="B883" s="28"/>
      <c r="C883" s="24" t="str">
        <f aca="false">IF(B883="","",DATE(YEAR(B883),MONTH(B883),1))</f>
        <v/>
      </c>
      <c r="N883" s="26" t="str">
        <f aca="false">IF(L883="","",L883*M883)</f>
        <v/>
      </c>
      <c r="P883" s="26" t="str">
        <f aca="false">IF(L883="","",N883-L883*O883)</f>
        <v/>
      </c>
      <c r="T883" s="22" t="str">
        <f aca="false">IF(R883="","",IF(R883&lt;=Q883,"Yes","No"))</f>
        <v/>
      </c>
      <c r="U883" s="22" t="str">
        <f aca="false">IF(B883="","",TEXT(YEAR(B883),"0"))</f>
        <v/>
      </c>
    </row>
    <row r="884" customFormat="false" ht="15" hidden="false" customHeight="false" outlineLevel="0" collapsed="false">
      <c r="B884" s="28"/>
      <c r="C884" s="24" t="str">
        <f aca="false">IF(B884="","",DATE(YEAR(B884),MONTH(B884),1))</f>
        <v/>
      </c>
      <c r="N884" s="26" t="str">
        <f aca="false">IF(L884="","",L884*M884)</f>
        <v/>
      </c>
      <c r="P884" s="26" t="str">
        <f aca="false">IF(L884="","",N884-L884*O884)</f>
        <v/>
      </c>
      <c r="T884" s="22" t="str">
        <f aca="false">IF(R884="","",IF(R884&lt;=Q884,"Yes","No"))</f>
        <v/>
      </c>
      <c r="U884" s="22" t="str">
        <f aca="false">IF(B884="","",TEXT(YEAR(B884),"0"))</f>
        <v/>
      </c>
    </row>
    <row r="885" customFormat="false" ht="15" hidden="false" customHeight="false" outlineLevel="0" collapsed="false">
      <c r="B885" s="28"/>
      <c r="C885" s="24" t="str">
        <f aca="false">IF(B885="","",DATE(YEAR(B885),MONTH(B885),1))</f>
        <v/>
      </c>
      <c r="N885" s="26" t="str">
        <f aca="false">IF(L885="","",L885*M885)</f>
        <v/>
      </c>
      <c r="P885" s="26" t="str">
        <f aca="false">IF(L885="","",N885-L885*O885)</f>
        <v/>
      </c>
      <c r="T885" s="22" t="str">
        <f aca="false">IF(R885="","",IF(R885&lt;=Q885,"Yes","No"))</f>
        <v/>
      </c>
      <c r="U885" s="22" t="str">
        <f aca="false">IF(B885="","",TEXT(YEAR(B885),"0"))</f>
        <v/>
      </c>
    </row>
    <row r="886" customFormat="false" ht="15" hidden="false" customHeight="false" outlineLevel="0" collapsed="false">
      <c r="B886" s="28"/>
      <c r="C886" s="24" t="str">
        <f aca="false">IF(B886="","",DATE(YEAR(B886),MONTH(B886),1))</f>
        <v/>
      </c>
      <c r="N886" s="26" t="str">
        <f aca="false">IF(L886="","",L886*M886)</f>
        <v/>
      </c>
      <c r="P886" s="26" t="str">
        <f aca="false">IF(L886="","",N886-L886*O886)</f>
        <v/>
      </c>
      <c r="T886" s="22" t="str">
        <f aca="false">IF(R886="","",IF(R886&lt;=Q886,"Yes","No"))</f>
        <v/>
      </c>
      <c r="U886" s="22" t="str">
        <f aca="false">IF(B886="","",TEXT(YEAR(B886),"0"))</f>
        <v/>
      </c>
    </row>
    <row r="887" customFormat="false" ht="15" hidden="false" customHeight="false" outlineLevel="0" collapsed="false">
      <c r="B887" s="28"/>
      <c r="C887" s="24" t="str">
        <f aca="false">IF(B887="","",DATE(YEAR(B887),MONTH(B887),1))</f>
        <v/>
      </c>
      <c r="N887" s="26" t="str">
        <f aca="false">IF(L887="","",L887*M887)</f>
        <v/>
      </c>
      <c r="P887" s="26" t="str">
        <f aca="false">IF(L887="","",N887-L887*O887)</f>
        <v/>
      </c>
      <c r="T887" s="22" t="str">
        <f aca="false">IF(R887="","",IF(R887&lt;=Q887,"Yes","No"))</f>
        <v/>
      </c>
      <c r="U887" s="22" t="str">
        <f aca="false">IF(B887="","",TEXT(YEAR(B887),"0"))</f>
        <v/>
      </c>
    </row>
    <row r="888" customFormat="false" ht="15" hidden="false" customHeight="false" outlineLevel="0" collapsed="false">
      <c r="B888" s="28"/>
      <c r="C888" s="24" t="str">
        <f aca="false">IF(B888="","",DATE(YEAR(B888),MONTH(B888),1))</f>
        <v/>
      </c>
      <c r="N888" s="26" t="str">
        <f aca="false">IF(L888="","",L888*M888)</f>
        <v/>
      </c>
      <c r="P888" s="26" t="str">
        <f aca="false">IF(L888="","",N888-L888*O888)</f>
        <v/>
      </c>
      <c r="T888" s="22" t="str">
        <f aca="false">IF(R888="","",IF(R888&lt;=Q888,"Yes","No"))</f>
        <v/>
      </c>
      <c r="U888" s="22" t="str">
        <f aca="false">IF(B888="","",TEXT(YEAR(B888),"0"))</f>
        <v/>
      </c>
    </row>
    <row r="889" customFormat="false" ht="15" hidden="false" customHeight="false" outlineLevel="0" collapsed="false">
      <c r="B889" s="28"/>
      <c r="C889" s="24" t="str">
        <f aca="false">IF(B889="","",DATE(YEAR(B889),MONTH(B889),1))</f>
        <v/>
      </c>
      <c r="N889" s="26" t="str">
        <f aca="false">IF(L889="","",L889*M889)</f>
        <v/>
      </c>
      <c r="P889" s="26" t="str">
        <f aca="false">IF(L889="","",N889-L889*O889)</f>
        <v/>
      </c>
      <c r="T889" s="22" t="str">
        <f aca="false">IF(R889="","",IF(R889&lt;=Q889,"Yes","No"))</f>
        <v/>
      </c>
      <c r="U889" s="22" t="str">
        <f aca="false">IF(B889="","",TEXT(YEAR(B889),"0"))</f>
        <v/>
      </c>
    </row>
    <row r="890" customFormat="false" ht="15" hidden="false" customHeight="false" outlineLevel="0" collapsed="false">
      <c r="B890" s="28"/>
      <c r="C890" s="24" t="str">
        <f aca="false">IF(B890="","",DATE(YEAR(B890),MONTH(B890),1))</f>
        <v/>
      </c>
      <c r="N890" s="26" t="str">
        <f aca="false">IF(L890="","",L890*M890)</f>
        <v/>
      </c>
      <c r="P890" s="26" t="str">
        <f aca="false">IF(L890="","",N890-L890*O890)</f>
        <v/>
      </c>
      <c r="T890" s="22" t="str">
        <f aca="false">IF(R890="","",IF(R890&lt;=Q890,"Yes","No"))</f>
        <v/>
      </c>
      <c r="U890" s="22" t="str">
        <f aca="false">IF(B890="","",TEXT(YEAR(B890),"0"))</f>
        <v/>
      </c>
    </row>
    <row r="891" customFormat="false" ht="15" hidden="false" customHeight="false" outlineLevel="0" collapsed="false">
      <c r="B891" s="28"/>
      <c r="C891" s="24" t="str">
        <f aca="false">IF(B891="","",DATE(YEAR(B891),MONTH(B891),1))</f>
        <v/>
      </c>
      <c r="N891" s="26" t="str">
        <f aca="false">IF(L891="","",L891*M891)</f>
        <v/>
      </c>
      <c r="P891" s="26" t="str">
        <f aca="false">IF(L891="","",N891-L891*O891)</f>
        <v/>
      </c>
      <c r="T891" s="22" t="str">
        <f aca="false">IF(R891="","",IF(R891&lt;=Q891,"Yes","No"))</f>
        <v/>
      </c>
      <c r="U891" s="22" t="str">
        <f aca="false">IF(B891="","",TEXT(YEAR(B891),"0"))</f>
        <v/>
      </c>
    </row>
    <row r="892" customFormat="false" ht="15" hidden="false" customHeight="false" outlineLevel="0" collapsed="false">
      <c r="B892" s="28"/>
      <c r="C892" s="24" t="str">
        <f aca="false">IF(B892="","",DATE(YEAR(B892),MONTH(B892),1))</f>
        <v/>
      </c>
      <c r="N892" s="26" t="str">
        <f aca="false">IF(L892="","",L892*M892)</f>
        <v/>
      </c>
      <c r="P892" s="26" t="str">
        <f aca="false">IF(L892="","",N892-L892*O892)</f>
        <v/>
      </c>
      <c r="T892" s="22" t="str">
        <f aca="false">IF(R892="","",IF(R892&lt;=Q892,"Yes","No"))</f>
        <v/>
      </c>
      <c r="U892" s="22" t="str">
        <f aca="false">IF(B892="","",TEXT(YEAR(B892),"0"))</f>
        <v/>
      </c>
    </row>
    <row r="893" customFormat="false" ht="15" hidden="false" customHeight="false" outlineLevel="0" collapsed="false">
      <c r="B893" s="28"/>
      <c r="C893" s="24" t="str">
        <f aca="false">IF(B893="","",DATE(YEAR(B893),MONTH(B893),1))</f>
        <v/>
      </c>
      <c r="N893" s="26" t="str">
        <f aca="false">IF(L893="","",L893*M893)</f>
        <v/>
      </c>
      <c r="P893" s="26" t="str">
        <f aca="false">IF(L893="","",N893-L893*O893)</f>
        <v/>
      </c>
      <c r="T893" s="22" t="str">
        <f aca="false">IF(R893="","",IF(R893&lt;=Q893,"Yes","No"))</f>
        <v/>
      </c>
      <c r="U893" s="22" t="str">
        <f aca="false">IF(B893="","",TEXT(YEAR(B893),"0"))</f>
        <v/>
      </c>
    </row>
    <row r="894" customFormat="false" ht="15" hidden="false" customHeight="false" outlineLevel="0" collapsed="false">
      <c r="B894" s="28"/>
      <c r="C894" s="24" t="str">
        <f aca="false">IF(B894="","",DATE(YEAR(B894),MONTH(B894),1))</f>
        <v/>
      </c>
      <c r="N894" s="26" t="str">
        <f aca="false">IF(L894="","",L894*M894)</f>
        <v/>
      </c>
      <c r="P894" s="26" t="str">
        <f aca="false">IF(L894="","",N894-L894*O894)</f>
        <v/>
      </c>
      <c r="T894" s="22" t="str">
        <f aca="false">IF(R894="","",IF(R894&lt;=Q894,"Yes","No"))</f>
        <v/>
      </c>
      <c r="U894" s="22" t="str">
        <f aca="false">IF(B894="","",TEXT(YEAR(B894),"0"))</f>
        <v/>
      </c>
    </row>
    <row r="895" customFormat="false" ht="15" hidden="false" customHeight="false" outlineLevel="0" collapsed="false">
      <c r="B895" s="28"/>
      <c r="C895" s="24" t="str">
        <f aca="false">IF(B895="","",DATE(YEAR(B895),MONTH(B895),1))</f>
        <v/>
      </c>
      <c r="N895" s="26" t="str">
        <f aca="false">IF(L895="","",L895*M895)</f>
        <v/>
      </c>
      <c r="P895" s="26" t="str">
        <f aca="false">IF(L895="","",N895-L895*O895)</f>
        <v/>
      </c>
      <c r="T895" s="22" t="str">
        <f aca="false">IF(R895="","",IF(R895&lt;=Q895,"Yes","No"))</f>
        <v/>
      </c>
      <c r="U895" s="22" t="str">
        <f aca="false">IF(B895="","",TEXT(YEAR(B895),"0"))</f>
        <v/>
      </c>
    </row>
    <row r="896" customFormat="false" ht="15" hidden="false" customHeight="false" outlineLevel="0" collapsed="false">
      <c r="B896" s="28"/>
      <c r="C896" s="24" t="str">
        <f aca="false">IF(B896="","",DATE(YEAR(B896),MONTH(B896),1))</f>
        <v/>
      </c>
      <c r="N896" s="26" t="str">
        <f aca="false">IF(L896="","",L896*M896)</f>
        <v/>
      </c>
      <c r="P896" s="26" t="str">
        <f aca="false">IF(L896="","",N896-L896*O896)</f>
        <v/>
      </c>
      <c r="T896" s="22" t="str">
        <f aca="false">IF(R896="","",IF(R896&lt;=Q896,"Yes","No"))</f>
        <v/>
      </c>
      <c r="U896" s="22" t="str">
        <f aca="false">IF(B896="","",TEXT(YEAR(B896),"0"))</f>
        <v/>
      </c>
    </row>
    <row r="897" customFormat="false" ht="15" hidden="false" customHeight="false" outlineLevel="0" collapsed="false">
      <c r="B897" s="28"/>
      <c r="C897" s="24" t="str">
        <f aca="false">IF(B897="","",DATE(YEAR(B897),MONTH(B897),1))</f>
        <v/>
      </c>
      <c r="N897" s="26" t="str">
        <f aca="false">IF(L897="","",L897*M897)</f>
        <v/>
      </c>
      <c r="P897" s="26" t="str">
        <f aca="false">IF(L897="","",N897-L897*O897)</f>
        <v/>
      </c>
      <c r="T897" s="22" t="str">
        <f aca="false">IF(R897="","",IF(R897&lt;=Q897,"Yes","No"))</f>
        <v/>
      </c>
      <c r="U897" s="22" t="str">
        <f aca="false">IF(B897="","",TEXT(YEAR(B897),"0"))</f>
        <v/>
      </c>
    </row>
    <row r="898" customFormat="false" ht="15" hidden="false" customHeight="false" outlineLevel="0" collapsed="false">
      <c r="B898" s="28"/>
      <c r="C898" s="24" t="str">
        <f aca="false">IF(B898="","",DATE(YEAR(B898),MONTH(B898),1))</f>
        <v/>
      </c>
      <c r="N898" s="26" t="str">
        <f aca="false">IF(L898="","",L898*M898)</f>
        <v/>
      </c>
      <c r="P898" s="26" t="str">
        <f aca="false">IF(L898="","",N898-L898*O898)</f>
        <v/>
      </c>
      <c r="T898" s="22" t="str">
        <f aca="false">IF(R898="","",IF(R898&lt;=Q898,"Yes","No"))</f>
        <v/>
      </c>
      <c r="U898" s="22" t="str">
        <f aca="false">IF(B898="","",TEXT(YEAR(B898),"0"))</f>
        <v/>
      </c>
    </row>
    <row r="899" customFormat="false" ht="15" hidden="false" customHeight="false" outlineLevel="0" collapsed="false">
      <c r="B899" s="28"/>
      <c r="C899" s="24" t="str">
        <f aca="false">IF(B899="","",DATE(YEAR(B899),MONTH(B899),1))</f>
        <v/>
      </c>
      <c r="N899" s="26" t="str">
        <f aca="false">IF(L899="","",L899*M899)</f>
        <v/>
      </c>
      <c r="P899" s="26" t="str">
        <f aca="false">IF(L899="","",N899-L899*O899)</f>
        <v/>
      </c>
      <c r="T899" s="22" t="str">
        <f aca="false">IF(R899="","",IF(R899&lt;=Q899,"Yes","No"))</f>
        <v/>
      </c>
      <c r="U899" s="22" t="str">
        <f aca="false">IF(B899="","",TEXT(YEAR(B899),"0"))</f>
        <v/>
      </c>
    </row>
    <row r="900" customFormat="false" ht="15" hidden="false" customHeight="false" outlineLevel="0" collapsed="false">
      <c r="B900" s="28"/>
      <c r="C900" s="24" t="str">
        <f aca="false">IF(B900="","",DATE(YEAR(B900),MONTH(B900),1))</f>
        <v/>
      </c>
      <c r="N900" s="26" t="str">
        <f aca="false">IF(L900="","",L900*M900)</f>
        <v/>
      </c>
      <c r="P900" s="26" t="str">
        <f aca="false">IF(L900="","",N900-L900*O900)</f>
        <v/>
      </c>
      <c r="T900" s="22" t="str">
        <f aca="false">IF(R900="","",IF(R900&lt;=Q900,"Yes","No"))</f>
        <v/>
      </c>
      <c r="U900" s="22" t="str">
        <f aca="false">IF(B900="","",TEXT(YEAR(B900),"0"))</f>
        <v/>
      </c>
    </row>
    <row r="901" customFormat="false" ht="15" hidden="false" customHeight="false" outlineLevel="0" collapsed="false">
      <c r="B901" s="28"/>
      <c r="C901" s="24" t="str">
        <f aca="false">IF(B901="","",DATE(YEAR(B901),MONTH(B901),1))</f>
        <v/>
      </c>
      <c r="N901" s="26" t="str">
        <f aca="false">IF(L901="","",L901*M901)</f>
        <v/>
      </c>
      <c r="P901" s="26" t="str">
        <f aca="false">IF(L901="","",N901-L901*O901)</f>
        <v/>
      </c>
      <c r="T901" s="22" t="str">
        <f aca="false">IF(R901="","",IF(R901&lt;=Q901,"Yes","No"))</f>
        <v/>
      </c>
      <c r="U901" s="22" t="str">
        <f aca="false">IF(B901="","",TEXT(YEAR(B901),"0"))</f>
        <v/>
      </c>
    </row>
    <row r="902" customFormat="false" ht="15" hidden="false" customHeight="false" outlineLevel="0" collapsed="false">
      <c r="B902" s="28"/>
      <c r="C902" s="24" t="str">
        <f aca="false">IF(B902="","",DATE(YEAR(B902),MONTH(B902),1))</f>
        <v/>
      </c>
      <c r="N902" s="26" t="str">
        <f aca="false">IF(L902="","",L902*M902)</f>
        <v/>
      </c>
      <c r="P902" s="26" t="str">
        <f aca="false">IF(L902="","",N902-L902*O902)</f>
        <v/>
      </c>
      <c r="T902" s="22" t="str">
        <f aca="false">IF(R902="","",IF(R902&lt;=Q902,"Yes","No"))</f>
        <v/>
      </c>
      <c r="U902" s="22" t="str">
        <f aca="false">IF(B902="","",TEXT(YEAR(B902),"0"))</f>
        <v/>
      </c>
    </row>
    <row r="903" customFormat="false" ht="15" hidden="false" customHeight="false" outlineLevel="0" collapsed="false">
      <c r="B903" s="28"/>
      <c r="C903" s="24" t="str">
        <f aca="false">IF(B903="","",DATE(YEAR(B903),MONTH(B903),1))</f>
        <v/>
      </c>
      <c r="N903" s="26" t="str">
        <f aca="false">IF(L903="","",L903*M903)</f>
        <v/>
      </c>
      <c r="P903" s="26" t="str">
        <f aca="false">IF(L903="","",N903-L903*O903)</f>
        <v/>
      </c>
      <c r="T903" s="22" t="str">
        <f aca="false">IF(R903="","",IF(R903&lt;=Q903,"Yes","No"))</f>
        <v/>
      </c>
      <c r="U903" s="22" t="str">
        <f aca="false">IF(B903="","",TEXT(YEAR(B903),"0"))</f>
        <v/>
      </c>
    </row>
    <row r="904" customFormat="false" ht="15" hidden="false" customHeight="false" outlineLevel="0" collapsed="false">
      <c r="B904" s="28"/>
      <c r="C904" s="24" t="str">
        <f aca="false">IF(B904="","",DATE(YEAR(B904),MONTH(B904),1))</f>
        <v/>
      </c>
      <c r="N904" s="26" t="str">
        <f aca="false">IF(L904="","",L904*M904)</f>
        <v/>
      </c>
      <c r="P904" s="26" t="str">
        <f aca="false">IF(L904="","",N904-L904*O904)</f>
        <v/>
      </c>
      <c r="T904" s="22" t="str">
        <f aca="false">IF(R904="","",IF(R904&lt;=Q904,"Yes","No"))</f>
        <v/>
      </c>
      <c r="U904" s="22" t="str">
        <f aca="false">IF(B904="","",TEXT(YEAR(B904),"0"))</f>
        <v/>
      </c>
    </row>
    <row r="905" customFormat="false" ht="15" hidden="false" customHeight="false" outlineLevel="0" collapsed="false">
      <c r="B905" s="28"/>
      <c r="C905" s="24" t="str">
        <f aca="false">IF(B905="","",DATE(YEAR(B905),MONTH(B905),1))</f>
        <v/>
      </c>
      <c r="N905" s="26" t="str">
        <f aca="false">IF(L905="","",L905*M905)</f>
        <v/>
      </c>
      <c r="P905" s="26" t="str">
        <f aca="false">IF(L905="","",N905-L905*O905)</f>
        <v/>
      </c>
      <c r="T905" s="22" t="str">
        <f aca="false">IF(R905="","",IF(R905&lt;=Q905,"Yes","No"))</f>
        <v/>
      </c>
      <c r="U905" s="22" t="str">
        <f aca="false">IF(B905="","",TEXT(YEAR(B905),"0"))</f>
        <v/>
      </c>
    </row>
    <row r="906" customFormat="false" ht="15" hidden="false" customHeight="false" outlineLevel="0" collapsed="false">
      <c r="B906" s="28"/>
      <c r="C906" s="24" t="str">
        <f aca="false">IF(B906="","",DATE(YEAR(B906),MONTH(B906),1))</f>
        <v/>
      </c>
      <c r="N906" s="26" t="str">
        <f aca="false">IF(L906="","",L906*M906)</f>
        <v/>
      </c>
      <c r="P906" s="26" t="str">
        <f aca="false">IF(L906="","",N906-L906*O906)</f>
        <v/>
      </c>
      <c r="T906" s="22" t="str">
        <f aca="false">IF(R906="","",IF(R906&lt;=Q906,"Yes","No"))</f>
        <v/>
      </c>
      <c r="U906" s="22" t="str">
        <f aca="false">IF(B906="","",TEXT(YEAR(B906),"0"))</f>
        <v/>
      </c>
    </row>
    <row r="907" customFormat="false" ht="15" hidden="false" customHeight="false" outlineLevel="0" collapsed="false">
      <c r="B907" s="28"/>
      <c r="C907" s="24" t="str">
        <f aca="false">IF(B907="","",DATE(YEAR(B907),MONTH(B907),1))</f>
        <v/>
      </c>
      <c r="N907" s="26" t="str">
        <f aca="false">IF(L907="","",L907*M907)</f>
        <v/>
      </c>
      <c r="P907" s="26" t="str">
        <f aca="false">IF(L907="","",N907-L907*O907)</f>
        <v/>
      </c>
      <c r="T907" s="22" t="str">
        <f aca="false">IF(R907="","",IF(R907&lt;=Q907,"Yes","No"))</f>
        <v/>
      </c>
      <c r="U907" s="22" t="str">
        <f aca="false">IF(B907="","",TEXT(YEAR(B907),"0"))</f>
        <v/>
      </c>
    </row>
    <row r="908" customFormat="false" ht="15" hidden="false" customHeight="false" outlineLevel="0" collapsed="false">
      <c r="B908" s="28"/>
      <c r="C908" s="24" t="str">
        <f aca="false">IF(B908="","",DATE(YEAR(B908),MONTH(B908),1))</f>
        <v/>
      </c>
      <c r="N908" s="26" t="str">
        <f aca="false">IF(L908="","",L908*M908)</f>
        <v/>
      </c>
      <c r="P908" s="26" t="str">
        <f aca="false">IF(L908="","",N908-L908*O908)</f>
        <v/>
      </c>
      <c r="T908" s="22" t="str">
        <f aca="false">IF(R908="","",IF(R908&lt;=Q908,"Yes","No"))</f>
        <v/>
      </c>
      <c r="U908" s="22" t="str">
        <f aca="false">IF(B908="","",TEXT(YEAR(B908),"0"))</f>
        <v/>
      </c>
    </row>
    <row r="909" customFormat="false" ht="15" hidden="false" customHeight="false" outlineLevel="0" collapsed="false">
      <c r="B909" s="28"/>
      <c r="C909" s="24" t="str">
        <f aca="false">IF(B909="","",DATE(YEAR(B909),MONTH(B909),1))</f>
        <v/>
      </c>
      <c r="N909" s="26" t="str">
        <f aca="false">IF(L909="","",L909*M909)</f>
        <v/>
      </c>
      <c r="P909" s="26" t="str">
        <f aca="false">IF(L909="","",N909-L909*O909)</f>
        <v/>
      </c>
      <c r="T909" s="22" t="str">
        <f aca="false">IF(R909="","",IF(R909&lt;=Q909,"Yes","No"))</f>
        <v/>
      </c>
      <c r="U909" s="22" t="str">
        <f aca="false">IF(B909="","",TEXT(YEAR(B909),"0"))</f>
        <v/>
      </c>
    </row>
    <row r="910" customFormat="false" ht="15" hidden="false" customHeight="false" outlineLevel="0" collapsed="false">
      <c r="B910" s="28"/>
      <c r="C910" s="24" t="str">
        <f aca="false">IF(B910="","",DATE(YEAR(B910),MONTH(B910),1))</f>
        <v/>
      </c>
      <c r="N910" s="26" t="str">
        <f aca="false">IF(L910="","",L910*M910)</f>
        <v/>
      </c>
      <c r="P910" s="26" t="str">
        <f aca="false">IF(L910="","",N910-L910*O910)</f>
        <v/>
      </c>
      <c r="T910" s="22" t="str">
        <f aca="false">IF(R910="","",IF(R910&lt;=Q910,"Yes","No"))</f>
        <v/>
      </c>
      <c r="U910" s="22" t="str">
        <f aca="false">IF(B910="","",TEXT(YEAR(B910),"0"))</f>
        <v/>
      </c>
    </row>
    <row r="911" customFormat="false" ht="15" hidden="false" customHeight="false" outlineLevel="0" collapsed="false">
      <c r="B911" s="28"/>
      <c r="C911" s="24" t="str">
        <f aca="false">IF(B911="","",DATE(YEAR(B911),MONTH(B911),1))</f>
        <v/>
      </c>
      <c r="N911" s="26" t="str">
        <f aca="false">IF(L911="","",L911*M911)</f>
        <v/>
      </c>
      <c r="P911" s="26" t="str">
        <f aca="false">IF(L911="","",N911-L911*O911)</f>
        <v/>
      </c>
      <c r="T911" s="22" t="str">
        <f aca="false">IF(R911="","",IF(R911&lt;=Q911,"Yes","No"))</f>
        <v/>
      </c>
      <c r="U911" s="22" t="str">
        <f aca="false">IF(B911="","",TEXT(YEAR(B911),"0"))</f>
        <v/>
      </c>
    </row>
    <row r="912" customFormat="false" ht="15" hidden="false" customHeight="false" outlineLevel="0" collapsed="false">
      <c r="B912" s="28"/>
      <c r="C912" s="24" t="str">
        <f aca="false">IF(B912="","",DATE(YEAR(B912),MONTH(B912),1))</f>
        <v/>
      </c>
      <c r="N912" s="26" t="str">
        <f aca="false">IF(L912="","",L912*M912)</f>
        <v/>
      </c>
      <c r="P912" s="26" t="str">
        <f aca="false">IF(L912="","",N912-L912*O912)</f>
        <v/>
      </c>
      <c r="T912" s="22" t="str">
        <f aca="false">IF(R912="","",IF(R912&lt;=Q912,"Yes","No"))</f>
        <v/>
      </c>
      <c r="U912" s="22" t="str">
        <f aca="false">IF(B912="","",TEXT(YEAR(B912),"0"))</f>
        <v/>
      </c>
    </row>
    <row r="913" customFormat="false" ht="15" hidden="false" customHeight="false" outlineLevel="0" collapsed="false">
      <c r="B913" s="28"/>
      <c r="C913" s="24" t="str">
        <f aca="false">IF(B913="","",DATE(YEAR(B913),MONTH(B913),1))</f>
        <v/>
      </c>
      <c r="N913" s="26" t="str">
        <f aca="false">IF(L913="","",L913*M913)</f>
        <v/>
      </c>
      <c r="P913" s="26" t="str">
        <f aca="false">IF(L913="","",N913-L913*O913)</f>
        <v/>
      </c>
      <c r="T913" s="22" t="str">
        <f aca="false">IF(R913="","",IF(R913&lt;=Q913,"Yes","No"))</f>
        <v/>
      </c>
      <c r="U913" s="22" t="str">
        <f aca="false">IF(B913="","",TEXT(YEAR(B913),"0"))</f>
        <v/>
      </c>
    </row>
    <row r="914" customFormat="false" ht="15" hidden="false" customHeight="false" outlineLevel="0" collapsed="false">
      <c r="B914" s="28"/>
      <c r="C914" s="24" t="str">
        <f aca="false">IF(B914="","",DATE(YEAR(B914),MONTH(B914),1))</f>
        <v/>
      </c>
      <c r="N914" s="26" t="str">
        <f aca="false">IF(L914="","",L914*M914)</f>
        <v/>
      </c>
      <c r="P914" s="26" t="str">
        <f aca="false">IF(L914="","",N914-L914*O914)</f>
        <v/>
      </c>
      <c r="T914" s="22" t="str">
        <f aca="false">IF(R914="","",IF(R914&lt;=Q914,"Yes","No"))</f>
        <v/>
      </c>
      <c r="U914" s="22" t="str">
        <f aca="false">IF(B914="","",TEXT(YEAR(B914),"0"))</f>
        <v/>
      </c>
    </row>
    <row r="915" customFormat="false" ht="15" hidden="false" customHeight="false" outlineLevel="0" collapsed="false">
      <c r="B915" s="28"/>
      <c r="C915" s="24" t="str">
        <f aca="false">IF(B915="","",DATE(YEAR(B915),MONTH(B915),1))</f>
        <v/>
      </c>
      <c r="N915" s="26" t="str">
        <f aca="false">IF(L915="","",L915*M915)</f>
        <v/>
      </c>
      <c r="P915" s="26" t="str">
        <f aca="false">IF(L915="","",N915-L915*O915)</f>
        <v/>
      </c>
      <c r="T915" s="22" t="str">
        <f aca="false">IF(R915="","",IF(R915&lt;=Q915,"Yes","No"))</f>
        <v/>
      </c>
      <c r="U915" s="22" t="str">
        <f aca="false">IF(B915="","",TEXT(YEAR(B915),"0"))</f>
        <v/>
      </c>
    </row>
    <row r="916" customFormat="false" ht="15" hidden="false" customHeight="false" outlineLevel="0" collapsed="false">
      <c r="B916" s="28"/>
      <c r="C916" s="24" t="str">
        <f aca="false">IF(B916="","",DATE(YEAR(B916),MONTH(B916),1))</f>
        <v/>
      </c>
      <c r="N916" s="26" t="str">
        <f aca="false">IF(L916="","",L916*M916)</f>
        <v/>
      </c>
      <c r="P916" s="26" t="str">
        <f aca="false">IF(L916="","",N916-L916*O916)</f>
        <v/>
      </c>
      <c r="T916" s="22" t="str">
        <f aca="false">IF(R916="","",IF(R916&lt;=Q916,"Yes","No"))</f>
        <v/>
      </c>
      <c r="U916" s="22" t="str">
        <f aca="false">IF(B916="","",TEXT(YEAR(B916),"0"))</f>
        <v/>
      </c>
    </row>
    <row r="917" customFormat="false" ht="15" hidden="false" customHeight="false" outlineLevel="0" collapsed="false">
      <c r="B917" s="28"/>
      <c r="C917" s="24" t="str">
        <f aca="false">IF(B917="","",DATE(YEAR(B917),MONTH(B917),1))</f>
        <v/>
      </c>
      <c r="N917" s="26" t="str">
        <f aca="false">IF(L917="","",L917*M917)</f>
        <v/>
      </c>
      <c r="P917" s="26" t="str">
        <f aca="false">IF(L917="","",N917-L917*O917)</f>
        <v/>
      </c>
      <c r="T917" s="22" t="str">
        <f aca="false">IF(R917="","",IF(R917&lt;=Q917,"Yes","No"))</f>
        <v/>
      </c>
      <c r="U917" s="22" t="str">
        <f aca="false">IF(B917="","",TEXT(YEAR(B917),"0"))</f>
        <v/>
      </c>
    </row>
    <row r="918" customFormat="false" ht="15" hidden="false" customHeight="false" outlineLevel="0" collapsed="false">
      <c r="B918" s="28"/>
      <c r="C918" s="24" t="str">
        <f aca="false">IF(B918="","",DATE(YEAR(B918),MONTH(B918),1))</f>
        <v/>
      </c>
      <c r="N918" s="26" t="str">
        <f aca="false">IF(L918="","",L918*M918)</f>
        <v/>
      </c>
      <c r="P918" s="26" t="str">
        <f aca="false">IF(L918="","",N918-L918*O918)</f>
        <v/>
      </c>
      <c r="T918" s="22" t="str">
        <f aca="false">IF(R918="","",IF(R918&lt;=Q918,"Yes","No"))</f>
        <v/>
      </c>
      <c r="U918" s="22" t="str">
        <f aca="false">IF(B918="","",TEXT(YEAR(B918),"0"))</f>
        <v/>
      </c>
    </row>
    <row r="919" customFormat="false" ht="15" hidden="false" customHeight="false" outlineLevel="0" collapsed="false">
      <c r="B919" s="28"/>
      <c r="C919" s="24" t="str">
        <f aca="false">IF(B919="","",DATE(YEAR(B919),MONTH(B919),1))</f>
        <v/>
      </c>
      <c r="N919" s="26" t="str">
        <f aca="false">IF(L919="","",L919*M919)</f>
        <v/>
      </c>
      <c r="P919" s="26" t="str">
        <f aca="false">IF(L919="","",N919-L919*O919)</f>
        <v/>
      </c>
      <c r="T919" s="22" t="str">
        <f aca="false">IF(R919="","",IF(R919&lt;=Q919,"Yes","No"))</f>
        <v/>
      </c>
      <c r="U919" s="22" t="str">
        <f aca="false">IF(B919="","",TEXT(YEAR(B919),"0"))</f>
        <v/>
      </c>
    </row>
    <row r="920" customFormat="false" ht="15" hidden="false" customHeight="false" outlineLevel="0" collapsed="false">
      <c r="B920" s="28"/>
      <c r="C920" s="24" t="str">
        <f aca="false">IF(B920="","",DATE(YEAR(B920),MONTH(B920),1))</f>
        <v/>
      </c>
      <c r="N920" s="26" t="str">
        <f aca="false">IF(L920="","",L920*M920)</f>
        <v/>
      </c>
      <c r="P920" s="26" t="str">
        <f aca="false">IF(L920="","",N920-L920*O920)</f>
        <v/>
      </c>
      <c r="T920" s="22" t="str">
        <f aca="false">IF(R920="","",IF(R920&lt;=Q920,"Yes","No"))</f>
        <v/>
      </c>
      <c r="U920" s="22" t="str">
        <f aca="false">IF(B920="","",TEXT(YEAR(B920),"0"))</f>
        <v/>
      </c>
    </row>
    <row r="921" customFormat="false" ht="15" hidden="false" customHeight="false" outlineLevel="0" collapsed="false">
      <c r="B921" s="28"/>
      <c r="C921" s="24" t="str">
        <f aca="false">IF(B921="","",DATE(YEAR(B921),MONTH(B921),1))</f>
        <v/>
      </c>
      <c r="N921" s="26" t="str">
        <f aca="false">IF(L921="","",L921*M921)</f>
        <v/>
      </c>
      <c r="P921" s="26" t="str">
        <f aca="false">IF(L921="","",N921-L921*O921)</f>
        <v/>
      </c>
      <c r="T921" s="22" t="str">
        <f aca="false">IF(R921="","",IF(R921&lt;=Q921,"Yes","No"))</f>
        <v/>
      </c>
      <c r="U921" s="22" t="str">
        <f aca="false">IF(B921="","",TEXT(YEAR(B921),"0"))</f>
        <v/>
      </c>
    </row>
    <row r="922" customFormat="false" ht="15" hidden="false" customHeight="false" outlineLevel="0" collapsed="false">
      <c r="B922" s="28"/>
      <c r="C922" s="24" t="str">
        <f aca="false">IF(B922="","",DATE(YEAR(B922),MONTH(B922),1))</f>
        <v/>
      </c>
      <c r="N922" s="26" t="str">
        <f aca="false">IF(L922="","",L922*M922)</f>
        <v/>
      </c>
      <c r="P922" s="26" t="str">
        <f aca="false">IF(L922="","",N922-L922*O922)</f>
        <v/>
      </c>
      <c r="T922" s="22" t="str">
        <f aca="false">IF(R922="","",IF(R922&lt;=Q922,"Yes","No"))</f>
        <v/>
      </c>
      <c r="U922" s="22" t="str">
        <f aca="false">IF(B922="","",TEXT(YEAR(B922),"0"))</f>
        <v/>
      </c>
    </row>
    <row r="923" customFormat="false" ht="15" hidden="false" customHeight="false" outlineLevel="0" collapsed="false">
      <c r="B923" s="28"/>
      <c r="C923" s="24" t="str">
        <f aca="false">IF(B923="","",DATE(YEAR(B923),MONTH(B923),1))</f>
        <v/>
      </c>
      <c r="N923" s="26" t="str">
        <f aca="false">IF(L923="","",L923*M923)</f>
        <v/>
      </c>
      <c r="P923" s="26" t="str">
        <f aca="false">IF(L923="","",N923-L923*O923)</f>
        <v/>
      </c>
      <c r="T923" s="22" t="str">
        <f aca="false">IF(R923="","",IF(R923&lt;=Q923,"Yes","No"))</f>
        <v/>
      </c>
      <c r="U923" s="22" t="str">
        <f aca="false">IF(B923="","",TEXT(YEAR(B923),"0"))</f>
        <v/>
      </c>
    </row>
    <row r="924" customFormat="false" ht="15" hidden="false" customHeight="false" outlineLevel="0" collapsed="false">
      <c r="B924" s="28"/>
      <c r="C924" s="24" t="str">
        <f aca="false">IF(B924="","",DATE(YEAR(B924),MONTH(B924),1))</f>
        <v/>
      </c>
      <c r="N924" s="26" t="str">
        <f aca="false">IF(L924="","",L924*M924)</f>
        <v/>
      </c>
      <c r="P924" s="26" t="str">
        <f aca="false">IF(L924="","",N924-L924*O924)</f>
        <v/>
      </c>
      <c r="T924" s="22" t="str">
        <f aca="false">IF(R924="","",IF(R924&lt;=Q924,"Yes","No"))</f>
        <v/>
      </c>
      <c r="U924" s="22" t="str">
        <f aca="false">IF(B924="","",TEXT(YEAR(B924),"0"))</f>
        <v/>
      </c>
    </row>
    <row r="925" customFormat="false" ht="15" hidden="false" customHeight="false" outlineLevel="0" collapsed="false">
      <c r="B925" s="28"/>
      <c r="C925" s="24" t="str">
        <f aca="false">IF(B925="","",DATE(YEAR(B925),MONTH(B925),1))</f>
        <v/>
      </c>
      <c r="N925" s="26" t="str">
        <f aca="false">IF(L925="","",L925*M925)</f>
        <v/>
      </c>
      <c r="P925" s="26" t="str">
        <f aca="false">IF(L925="","",N925-L925*O925)</f>
        <v/>
      </c>
      <c r="T925" s="22" t="str">
        <f aca="false">IF(R925="","",IF(R925&lt;=Q925,"Yes","No"))</f>
        <v/>
      </c>
      <c r="U925" s="22" t="str">
        <f aca="false">IF(B925="","",TEXT(YEAR(B925),"0"))</f>
        <v/>
      </c>
    </row>
    <row r="926" customFormat="false" ht="15" hidden="false" customHeight="false" outlineLevel="0" collapsed="false">
      <c r="B926" s="28"/>
      <c r="C926" s="24" t="str">
        <f aca="false">IF(B926="","",DATE(YEAR(B926),MONTH(B926),1))</f>
        <v/>
      </c>
      <c r="N926" s="26" t="str">
        <f aca="false">IF(L926="","",L926*M926)</f>
        <v/>
      </c>
      <c r="P926" s="26" t="str">
        <f aca="false">IF(L926="","",N926-L926*O926)</f>
        <v/>
      </c>
      <c r="T926" s="22" t="str">
        <f aca="false">IF(R926="","",IF(R926&lt;=Q926,"Yes","No"))</f>
        <v/>
      </c>
      <c r="U926" s="22" t="str">
        <f aca="false">IF(B926="","",TEXT(YEAR(B926),"0"))</f>
        <v/>
      </c>
    </row>
    <row r="927" customFormat="false" ht="15" hidden="false" customHeight="false" outlineLevel="0" collapsed="false">
      <c r="B927" s="28"/>
      <c r="C927" s="24" t="str">
        <f aca="false">IF(B927="","",DATE(YEAR(B927),MONTH(B927),1))</f>
        <v/>
      </c>
      <c r="N927" s="26" t="str">
        <f aca="false">IF(L927="","",L927*M927)</f>
        <v/>
      </c>
      <c r="P927" s="26" t="str">
        <f aca="false">IF(L927="","",N927-L927*O927)</f>
        <v/>
      </c>
      <c r="T927" s="22" t="str">
        <f aca="false">IF(R927="","",IF(R927&lt;=Q927,"Yes","No"))</f>
        <v/>
      </c>
      <c r="U927" s="22" t="str">
        <f aca="false">IF(B927="","",TEXT(YEAR(B927),"0"))</f>
        <v/>
      </c>
    </row>
    <row r="928" customFormat="false" ht="15" hidden="false" customHeight="false" outlineLevel="0" collapsed="false">
      <c r="B928" s="28"/>
      <c r="C928" s="24" t="str">
        <f aca="false">IF(B928="","",DATE(YEAR(B928),MONTH(B928),1))</f>
        <v/>
      </c>
      <c r="N928" s="26" t="str">
        <f aca="false">IF(L928="","",L928*M928)</f>
        <v/>
      </c>
      <c r="P928" s="26" t="str">
        <f aca="false">IF(L928="","",N928-L928*O928)</f>
        <v/>
      </c>
      <c r="T928" s="22" t="str">
        <f aca="false">IF(R928="","",IF(R928&lt;=Q928,"Yes","No"))</f>
        <v/>
      </c>
      <c r="U928" s="22" t="str">
        <f aca="false">IF(B928="","",TEXT(YEAR(B928),"0"))</f>
        <v/>
      </c>
    </row>
    <row r="929" customFormat="false" ht="15" hidden="false" customHeight="false" outlineLevel="0" collapsed="false">
      <c r="B929" s="28"/>
      <c r="C929" s="24" t="str">
        <f aca="false">IF(B929="","",DATE(YEAR(B929),MONTH(B929),1))</f>
        <v/>
      </c>
      <c r="N929" s="26" t="str">
        <f aca="false">IF(L929="","",L929*M929)</f>
        <v/>
      </c>
      <c r="P929" s="26" t="str">
        <f aca="false">IF(L929="","",N929-L929*O929)</f>
        <v/>
      </c>
      <c r="T929" s="22" t="str">
        <f aca="false">IF(R929="","",IF(R929&lt;=Q929,"Yes","No"))</f>
        <v/>
      </c>
      <c r="U929" s="22" t="str">
        <f aca="false">IF(B929="","",TEXT(YEAR(B929),"0"))</f>
        <v/>
      </c>
    </row>
    <row r="930" customFormat="false" ht="15" hidden="false" customHeight="false" outlineLevel="0" collapsed="false">
      <c r="B930" s="28"/>
      <c r="C930" s="24" t="str">
        <f aca="false">IF(B930="","",DATE(YEAR(B930),MONTH(B930),1))</f>
        <v/>
      </c>
      <c r="N930" s="26" t="str">
        <f aca="false">IF(L930="","",L930*M930)</f>
        <v/>
      </c>
      <c r="P930" s="26" t="str">
        <f aca="false">IF(L930="","",N930-L930*O930)</f>
        <v/>
      </c>
      <c r="T930" s="22" t="str">
        <f aca="false">IF(R930="","",IF(R930&lt;=Q930,"Yes","No"))</f>
        <v/>
      </c>
      <c r="U930" s="22" t="str">
        <f aca="false">IF(B930="","",TEXT(YEAR(B930),"0"))</f>
        <v/>
      </c>
    </row>
    <row r="931" customFormat="false" ht="15" hidden="false" customHeight="false" outlineLevel="0" collapsed="false">
      <c r="B931" s="28"/>
      <c r="C931" s="24" t="str">
        <f aca="false">IF(B931="","",DATE(YEAR(B931),MONTH(B931),1))</f>
        <v/>
      </c>
      <c r="N931" s="26" t="str">
        <f aca="false">IF(L931="","",L931*M931)</f>
        <v/>
      </c>
      <c r="P931" s="26" t="str">
        <f aca="false">IF(L931="","",N931-L931*O931)</f>
        <v/>
      </c>
      <c r="T931" s="22" t="str">
        <f aca="false">IF(R931="","",IF(R931&lt;=Q931,"Yes","No"))</f>
        <v/>
      </c>
      <c r="U931" s="22" t="str">
        <f aca="false">IF(B931="","",TEXT(YEAR(B931),"0"))</f>
        <v/>
      </c>
    </row>
    <row r="932" customFormat="false" ht="15" hidden="false" customHeight="false" outlineLevel="0" collapsed="false">
      <c r="B932" s="28"/>
      <c r="C932" s="24" t="str">
        <f aca="false">IF(B932="","",DATE(YEAR(B932),MONTH(B932),1))</f>
        <v/>
      </c>
      <c r="N932" s="26" t="str">
        <f aca="false">IF(L932="","",L932*M932)</f>
        <v/>
      </c>
      <c r="P932" s="26" t="str">
        <f aca="false">IF(L932="","",N932-L932*O932)</f>
        <v/>
      </c>
      <c r="T932" s="22" t="str">
        <f aca="false">IF(R932="","",IF(R932&lt;=Q932,"Yes","No"))</f>
        <v/>
      </c>
      <c r="U932" s="22" t="str">
        <f aca="false">IF(B932="","",TEXT(YEAR(B932),"0"))</f>
        <v/>
      </c>
    </row>
    <row r="933" customFormat="false" ht="15" hidden="false" customHeight="false" outlineLevel="0" collapsed="false">
      <c r="B933" s="28"/>
      <c r="C933" s="24" t="str">
        <f aca="false">IF(B933="","",DATE(YEAR(B933),MONTH(B933),1))</f>
        <v/>
      </c>
      <c r="N933" s="26" t="str">
        <f aca="false">IF(L933="","",L933*M933)</f>
        <v/>
      </c>
      <c r="P933" s="26" t="str">
        <f aca="false">IF(L933="","",N933-L933*O933)</f>
        <v/>
      </c>
      <c r="T933" s="22" t="str">
        <f aca="false">IF(R933="","",IF(R933&lt;=Q933,"Yes","No"))</f>
        <v/>
      </c>
      <c r="U933" s="22" t="str">
        <f aca="false">IF(B933="","",TEXT(YEAR(B933),"0"))</f>
        <v/>
      </c>
    </row>
    <row r="934" customFormat="false" ht="15" hidden="false" customHeight="false" outlineLevel="0" collapsed="false">
      <c r="B934" s="28"/>
      <c r="C934" s="24" t="str">
        <f aca="false">IF(B934="","",DATE(YEAR(B934),MONTH(B934),1))</f>
        <v/>
      </c>
      <c r="N934" s="26" t="str">
        <f aca="false">IF(L934="","",L934*M934)</f>
        <v/>
      </c>
      <c r="P934" s="26" t="str">
        <f aca="false">IF(L934="","",N934-L934*O934)</f>
        <v/>
      </c>
      <c r="T934" s="22" t="str">
        <f aca="false">IF(R934="","",IF(R934&lt;=Q934,"Yes","No"))</f>
        <v/>
      </c>
      <c r="U934" s="22" t="str">
        <f aca="false">IF(B934="","",TEXT(YEAR(B934),"0"))</f>
        <v/>
      </c>
    </row>
    <row r="935" customFormat="false" ht="15" hidden="false" customHeight="false" outlineLevel="0" collapsed="false">
      <c r="B935" s="28"/>
      <c r="C935" s="24" t="str">
        <f aca="false">IF(B935="","",DATE(YEAR(B935),MONTH(B935),1))</f>
        <v/>
      </c>
      <c r="N935" s="26" t="str">
        <f aca="false">IF(L935="","",L935*M935)</f>
        <v/>
      </c>
      <c r="P935" s="26" t="str">
        <f aca="false">IF(L935="","",N935-L935*O935)</f>
        <v/>
      </c>
      <c r="T935" s="22" t="str">
        <f aca="false">IF(R935="","",IF(R935&lt;=Q935,"Yes","No"))</f>
        <v/>
      </c>
      <c r="U935" s="22" t="str">
        <f aca="false">IF(B935="","",TEXT(YEAR(B935),"0"))</f>
        <v/>
      </c>
    </row>
    <row r="936" customFormat="false" ht="15" hidden="false" customHeight="false" outlineLevel="0" collapsed="false">
      <c r="B936" s="28"/>
      <c r="C936" s="24" t="str">
        <f aca="false">IF(B936="","",DATE(YEAR(B936),MONTH(B936),1))</f>
        <v/>
      </c>
      <c r="N936" s="26" t="str">
        <f aca="false">IF(L936="","",L936*M936)</f>
        <v/>
      </c>
      <c r="P936" s="26" t="str">
        <f aca="false">IF(L936="","",N936-L936*O936)</f>
        <v/>
      </c>
      <c r="T936" s="22" t="str">
        <f aca="false">IF(R936="","",IF(R936&lt;=Q936,"Yes","No"))</f>
        <v/>
      </c>
      <c r="U936" s="22" t="str">
        <f aca="false">IF(B936="","",TEXT(YEAR(B936),"0"))</f>
        <v/>
      </c>
    </row>
    <row r="937" customFormat="false" ht="15" hidden="false" customHeight="false" outlineLevel="0" collapsed="false">
      <c r="B937" s="28"/>
      <c r="C937" s="24" t="str">
        <f aca="false">IF(B937="","",DATE(YEAR(B937),MONTH(B937),1))</f>
        <v/>
      </c>
      <c r="N937" s="26" t="str">
        <f aca="false">IF(L937="","",L937*M937)</f>
        <v/>
      </c>
      <c r="P937" s="26" t="str">
        <f aca="false">IF(L937="","",N937-L937*O937)</f>
        <v/>
      </c>
      <c r="T937" s="22" t="str">
        <f aca="false">IF(R937="","",IF(R937&lt;=Q937,"Yes","No"))</f>
        <v/>
      </c>
      <c r="U937" s="22" t="str">
        <f aca="false">IF(B937="","",TEXT(YEAR(B937),"0"))</f>
        <v/>
      </c>
    </row>
    <row r="938" customFormat="false" ht="15" hidden="false" customHeight="false" outlineLevel="0" collapsed="false">
      <c r="B938" s="28"/>
      <c r="C938" s="24" t="str">
        <f aca="false">IF(B938="","",DATE(YEAR(B938),MONTH(B938),1))</f>
        <v/>
      </c>
      <c r="N938" s="26" t="str">
        <f aca="false">IF(L938="","",L938*M938)</f>
        <v/>
      </c>
      <c r="P938" s="26" t="str">
        <f aca="false">IF(L938="","",N938-L938*O938)</f>
        <v/>
      </c>
      <c r="T938" s="22" t="str">
        <f aca="false">IF(R938="","",IF(R938&lt;=Q938,"Yes","No"))</f>
        <v/>
      </c>
      <c r="U938" s="22" t="str">
        <f aca="false">IF(B938="","",TEXT(YEAR(B938),"0"))</f>
        <v/>
      </c>
    </row>
    <row r="939" customFormat="false" ht="15" hidden="false" customHeight="false" outlineLevel="0" collapsed="false">
      <c r="B939" s="28"/>
      <c r="C939" s="24" t="str">
        <f aca="false">IF(B939="","",DATE(YEAR(B939),MONTH(B939),1))</f>
        <v/>
      </c>
      <c r="N939" s="26" t="str">
        <f aca="false">IF(L939="","",L939*M939)</f>
        <v/>
      </c>
      <c r="P939" s="26" t="str">
        <f aca="false">IF(L939="","",N939-L939*O939)</f>
        <v/>
      </c>
      <c r="T939" s="22" t="str">
        <f aca="false">IF(R939="","",IF(R939&lt;=Q939,"Yes","No"))</f>
        <v/>
      </c>
      <c r="U939" s="22" t="str">
        <f aca="false">IF(B939="","",TEXT(YEAR(B939),"0"))</f>
        <v/>
      </c>
    </row>
    <row r="940" customFormat="false" ht="15" hidden="false" customHeight="false" outlineLevel="0" collapsed="false">
      <c r="B940" s="28"/>
      <c r="C940" s="24" t="str">
        <f aca="false">IF(B940="","",DATE(YEAR(B940),MONTH(B940),1))</f>
        <v/>
      </c>
      <c r="N940" s="26" t="str">
        <f aca="false">IF(L940="","",L940*M940)</f>
        <v/>
      </c>
      <c r="P940" s="26" t="str">
        <f aca="false">IF(L940="","",N940-L940*O940)</f>
        <v/>
      </c>
      <c r="T940" s="22" t="str">
        <f aca="false">IF(R940="","",IF(R940&lt;=Q940,"Yes","No"))</f>
        <v/>
      </c>
      <c r="U940" s="22" t="str">
        <f aca="false">IF(B940="","",TEXT(YEAR(B940),"0"))</f>
        <v/>
      </c>
    </row>
    <row r="941" customFormat="false" ht="15" hidden="false" customHeight="false" outlineLevel="0" collapsed="false">
      <c r="B941" s="28"/>
      <c r="C941" s="24" t="str">
        <f aca="false">IF(B941="","",DATE(YEAR(B941),MONTH(B941),1))</f>
        <v/>
      </c>
      <c r="N941" s="26" t="str">
        <f aca="false">IF(L941="","",L941*M941)</f>
        <v/>
      </c>
      <c r="P941" s="26" t="str">
        <f aca="false">IF(L941="","",N941-L941*O941)</f>
        <v/>
      </c>
      <c r="T941" s="22" t="str">
        <f aca="false">IF(R941="","",IF(R941&lt;=Q941,"Yes","No"))</f>
        <v/>
      </c>
      <c r="U941" s="22" t="str">
        <f aca="false">IF(B941="","",TEXT(YEAR(B941),"0"))</f>
        <v/>
      </c>
    </row>
    <row r="942" customFormat="false" ht="15" hidden="false" customHeight="false" outlineLevel="0" collapsed="false">
      <c r="B942" s="28"/>
      <c r="C942" s="24" t="str">
        <f aca="false">IF(B942="","",DATE(YEAR(B942),MONTH(B942),1))</f>
        <v/>
      </c>
      <c r="N942" s="26" t="str">
        <f aca="false">IF(L942="","",L942*M942)</f>
        <v/>
      </c>
      <c r="P942" s="26" t="str">
        <f aca="false">IF(L942="","",N942-L942*O942)</f>
        <v/>
      </c>
      <c r="T942" s="22" t="str">
        <f aca="false">IF(R942="","",IF(R942&lt;=Q942,"Yes","No"))</f>
        <v/>
      </c>
      <c r="U942" s="22" t="str">
        <f aca="false">IF(B942="","",TEXT(YEAR(B942),"0"))</f>
        <v/>
      </c>
    </row>
    <row r="943" customFormat="false" ht="15" hidden="false" customHeight="false" outlineLevel="0" collapsed="false">
      <c r="B943" s="28"/>
      <c r="C943" s="24" t="str">
        <f aca="false">IF(B943="","",DATE(YEAR(B943),MONTH(B943),1))</f>
        <v/>
      </c>
      <c r="N943" s="26" t="str">
        <f aca="false">IF(L943="","",L943*M943)</f>
        <v/>
      </c>
      <c r="P943" s="26" t="str">
        <f aca="false">IF(L943="","",N943-L943*O943)</f>
        <v/>
      </c>
      <c r="T943" s="22" t="str">
        <f aca="false">IF(R943="","",IF(R943&lt;=Q943,"Yes","No"))</f>
        <v/>
      </c>
      <c r="U943" s="22" t="str">
        <f aca="false">IF(B943="","",TEXT(YEAR(B943),"0"))</f>
        <v/>
      </c>
    </row>
    <row r="944" customFormat="false" ht="15" hidden="false" customHeight="false" outlineLevel="0" collapsed="false">
      <c r="B944" s="28"/>
      <c r="C944" s="24" t="str">
        <f aca="false">IF(B944="","",DATE(YEAR(B944),MONTH(B944),1))</f>
        <v/>
      </c>
      <c r="N944" s="26" t="str">
        <f aca="false">IF(L944="","",L944*M944)</f>
        <v/>
      </c>
      <c r="P944" s="26" t="str">
        <f aca="false">IF(L944="","",N944-L944*O944)</f>
        <v/>
      </c>
      <c r="T944" s="22" t="str">
        <f aca="false">IF(R944="","",IF(R944&lt;=Q944,"Yes","No"))</f>
        <v/>
      </c>
      <c r="U944" s="22" t="str">
        <f aca="false">IF(B944="","",TEXT(YEAR(B944),"0"))</f>
        <v/>
      </c>
    </row>
    <row r="945" customFormat="false" ht="15" hidden="false" customHeight="false" outlineLevel="0" collapsed="false">
      <c r="B945" s="28"/>
      <c r="C945" s="24" t="str">
        <f aca="false">IF(B945="","",DATE(YEAR(B945),MONTH(B945),1))</f>
        <v/>
      </c>
      <c r="N945" s="26" t="str">
        <f aca="false">IF(L945="","",L945*M945)</f>
        <v/>
      </c>
      <c r="P945" s="26" t="str">
        <f aca="false">IF(L945="","",N945-L945*O945)</f>
        <v/>
      </c>
      <c r="T945" s="22" t="str">
        <f aca="false">IF(R945="","",IF(R945&lt;=Q945,"Yes","No"))</f>
        <v/>
      </c>
      <c r="U945" s="22" t="str">
        <f aca="false">IF(B945="","",TEXT(YEAR(B945),"0"))</f>
        <v/>
      </c>
    </row>
    <row r="946" customFormat="false" ht="15" hidden="false" customHeight="false" outlineLevel="0" collapsed="false">
      <c r="B946" s="28"/>
      <c r="C946" s="24" t="str">
        <f aca="false">IF(B946="","",DATE(YEAR(B946),MONTH(B946),1))</f>
        <v/>
      </c>
      <c r="N946" s="26" t="str">
        <f aca="false">IF(L946="","",L946*M946)</f>
        <v/>
      </c>
      <c r="P946" s="26" t="str">
        <f aca="false">IF(L946="","",N946-L946*O946)</f>
        <v/>
      </c>
      <c r="T946" s="22" t="str">
        <f aca="false">IF(R946="","",IF(R946&lt;=Q946,"Yes","No"))</f>
        <v/>
      </c>
      <c r="U946" s="22" t="str">
        <f aca="false">IF(B946="","",TEXT(YEAR(B946),"0"))</f>
        <v/>
      </c>
    </row>
    <row r="947" customFormat="false" ht="15" hidden="false" customHeight="false" outlineLevel="0" collapsed="false">
      <c r="B947" s="28"/>
      <c r="C947" s="24" t="str">
        <f aca="false">IF(B947="","",DATE(YEAR(B947),MONTH(B947),1))</f>
        <v/>
      </c>
      <c r="N947" s="26" t="str">
        <f aca="false">IF(L947="","",L947*M947)</f>
        <v/>
      </c>
      <c r="P947" s="26" t="str">
        <f aca="false">IF(L947="","",N947-L947*O947)</f>
        <v/>
      </c>
      <c r="T947" s="22" t="str">
        <f aca="false">IF(R947="","",IF(R947&lt;=Q947,"Yes","No"))</f>
        <v/>
      </c>
      <c r="U947" s="22" t="str">
        <f aca="false">IF(B947="","",TEXT(YEAR(B947),"0"))</f>
        <v/>
      </c>
    </row>
    <row r="948" customFormat="false" ht="15" hidden="false" customHeight="false" outlineLevel="0" collapsed="false">
      <c r="B948" s="28"/>
      <c r="C948" s="24" t="str">
        <f aca="false">IF(B948="","",DATE(YEAR(B948),MONTH(B948),1))</f>
        <v/>
      </c>
      <c r="N948" s="26" t="str">
        <f aca="false">IF(L948="","",L948*M948)</f>
        <v/>
      </c>
      <c r="P948" s="26" t="str">
        <f aca="false">IF(L948="","",N948-L948*O948)</f>
        <v/>
      </c>
      <c r="T948" s="22" t="str">
        <f aca="false">IF(R948="","",IF(R948&lt;=Q948,"Yes","No"))</f>
        <v/>
      </c>
      <c r="U948" s="22" t="str">
        <f aca="false">IF(B948="","",TEXT(YEAR(B948),"0"))</f>
        <v/>
      </c>
    </row>
    <row r="949" customFormat="false" ht="15" hidden="false" customHeight="false" outlineLevel="0" collapsed="false">
      <c r="B949" s="28"/>
      <c r="C949" s="24" t="str">
        <f aca="false">IF(B949="","",DATE(YEAR(B949),MONTH(B949),1))</f>
        <v/>
      </c>
      <c r="N949" s="26" t="str">
        <f aca="false">IF(L949="","",L949*M949)</f>
        <v/>
      </c>
      <c r="P949" s="26" t="str">
        <f aca="false">IF(L949="","",N949-L949*O949)</f>
        <v/>
      </c>
      <c r="T949" s="22" t="str">
        <f aca="false">IF(R949="","",IF(R949&lt;=Q949,"Yes","No"))</f>
        <v/>
      </c>
      <c r="U949" s="22" t="str">
        <f aca="false">IF(B949="","",TEXT(YEAR(B949),"0"))</f>
        <v/>
      </c>
    </row>
    <row r="950" customFormat="false" ht="15" hidden="false" customHeight="false" outlineLevel="0" collapsed="false">
      <c r="B950" s="28"/>
      <c r="C950" s="24" t="str">
        <f aca="false">IF(B950="","",DATE(YEAR(B950),MONTH(B950),1))</f>
        <v/>
      </c>
      <c r="N950" s="26" t="str">
        <f aca="false">IF(L950="","",L950*M950)</f>
        <v/>
      </c>
      <c r="P950" s="26" t="str">
        <f aca="false">IF(L950="","",N950-L950*O950)</f>
        <v/>
      </c>
      <c r="T950" s="22" t="str">
        <f aca="false">IF(R950="","",IF(R950&lt;=Q950,"Yes","No"))</f>
        <v/>
      </c>
      <c r="U950" s="22" t="str">
        <f aca="false">IF(B950="","",TEXT(YEAR(B950),"0"))</f>
        <v/>
      </c>
    </row>
    <row r="951" customFormat="false" ht="15" hidden="false" customHeight="false" outlineLevel="0" collapsed="false">
      <c r="B951" s="28"/>
      <c r="C951" s="24" t="str">
        <f aca="false">IF(B951="","",DATE(YEAR(B951),MONTH(B951),1))</f>
        <v/>
      </c>
      <c r="N951" s="26" t="str">
        <f aca="false">IF(L951="","",L951*M951)</f>
        <v/>
      </c>
      <c r="P951" s="26" t="str">
        <f aca="false">IF(L951="","",N951-L951*O951)</f>
        <v/>
      </c>
      <c r="T951" s="22" t="str">
        <f aca="false">IF(R951="","",IF(R951&lt;=Q951,"Yes","No"))</f>
        <v/>
      </c>
      <c r="U951" s="22" t="str">
        <f aca="false">IF(B951="","",TEXT(YEAR(B951),"0"))</f>
        <v/>
      </c>
    </row>
    <row r="952" customFormat="false" ht="15" hidden="false" customHeight="false" outlineLevel="0" collapsed="false">
      <c r="B952" s="28"/>
      <c r="C952" s="24" t="str">
        <f aca="false">IF(B952="","",DATE(YEAR(B952),MONTH(B952),1))</f>
        <v/>
      </c>
      <c r="N952" s="26" t="str">
        <f aca="false">IF(L952="","",L952*M952)</f>
        <v/>
      </c>
      <c r="P952" s="26" t="str">
        <f aca="false">IF(L952="","",N952-L952*O952)</f>
        <v/>
      </c>
      <c r="T952" s="22" t="str">
        <f aca="false">IF(R952="","",IF(R952&lt;=Q952,"Yes","No"))</f>
        <v/>
      </c>
      <c r="U952" s="22" t="str">
        <f aca="false">IF(B952="","",TEXT(YEAR(B952),"0"))</f>
        <v/>
      </c>
    </row>
    <row r="953" customFormat="false" ht="15" hidden="false" customHeight="false" outlineLevel="0" collapsed="false">
      <c r="B953" s="28"/>
      <c r="C953" s="24" t="str">
        <f aca="false">IF(B953="","",DATE(YEAR(B953),MONTH(B953),1))</f>
        <v/>
      </c>
      <c r="N953" s="26" t="str">
        <f aca="false">IF(L953="","",L953*M953)</f>
        <v/>
      </c>
      <c r="P953" s="26" t="str">
        <f aca="false">IF(L953="","",N953-L953*O953)</f>
        <v/>
      </c>
      <c r="T953" s="22" t="str">
        <f aca="false">IF(R953="","",IF(R953&lt;=Q953,"Yes","No"))</f>
        <v/>
      </c>
      <c r="U953" s="22" t="str">
        <f aca="false">IF(B953="","",TEXT(YEAR(B953),"0"))</f>
        <v/>
      </c>
    </row>
    <row r="954" customFormat="false" ht="15" hidden="false" customHeight="false" outlineLevel="0" collapsed="false">
      <c r="B954" s="28"/>
      <c r="C954" s="24" t="str">
        <f aca="false">IF(B954="","",DATE(YEAR(B954),MONTH(B954),1))</f>
        <v/>
      </c>
      <c r="N954" s="26" t="str">
        <f aca="false">IF(L954="","",L954*M954)</f>
        <v/>
      </c>
      <c r="P954" s="26" t="str">
        <f aca="false">IF(L954="","",N954-L954*O954)</f>
        <v/>
      </c>
      <c r="T954" s="22" t="str">
        <f aca="false">IF(R954="","",IF(R954&lt;=Q954,"Yes","No"))</f>
        <v/>
      </c>
      <c r="U954" s="22" t="str">
        <f aca="false">IF(B954="","",TEXT(YEAR(B954),"0"))</f>
        <v/>
      </c>
    </row>
    <row r="955" customFormat="false" ht="15" hidden="false" customHeight="false" outlineLevel="0" collapsed="false">
      <c r="B955" s="28"/>
      <c r="C955" s="24" t="str">
        <f aca="false">IF(B955="","",DATE(YEAR(B955),MONTH(B955),1))</f>
        <v/>
      </c>
      <c r="N955" s="26" t="str">
        <f aca="false">IF(L955="","",L955*M955)</f>
        <v/>
      </c>
      <c r="P955" s="26" t="str">
        <f aca="false">IF(L955="","",N955-L955*O955)</f>
        <v/>
      </c>
      <c r="T955" s="22" t="str">
        <f aca="false">IF(R955="","",IF(R955&lt;=Q955,"Yes","No"))</f>
        <v/>
      </c>
      <c r="U955" s="22" t="str">
        <f aca="false">IF(B955="","",TEXT(YEAR(B955),"0"))</f>
        <v/>
      </c>
    </row>
    <row r="956" customFormat="false" ht="15" hidden="false" customHeight="false" outlineLevel="0" collapsed="false">
      <c r="B956" s="28"/>
      <c r="C956" s="24" t="str">
        <f aca="false">IF(B956="","",DATE(YEAR(B956),MONTH(B956),1))</f>
        <v/>
      </c>
      <c r="N956" s="26" t="str">
        <f aca="false">IF(L956="","",L956*M956)</f>
        <v/>
      </c>
      <c r="P956" s="26" t="str">
        <f aca="false">IF(L956="","",N956-L956*O956)</f>
        <v/>
      </c>
      <c r="T956" s="22" t="str">
        <f aca="false">IF(R956="","",IF(R956&lt;=Q956,"Yes","No"))</f>
        <v/>
      </c>
      <c r="U956" s="22" t="str">
        <f aca="false">IF(B956="","",TEXT(YEAR(B956),"0"))</f>
        <v/>
      </c>
    </row>
    <row r="957" customFormat="false" ht="15" hidden="false" customHeight="false" outlineLevel="0" collapsed="false">
      <c r="B957" s="28"/>
      <c r="C957" s="24" t="str">
        <f aca="false">IF(B957="","",DATE(YEAR(B957),MONTH(B957),1))</f>
        <v/>
      </c>
      <c r="N957" s="26" t="str">
        <f aca="false">IF(L957="","",L957*M957)</f>
        <v/>
      </c>
      <c r="P957" s="26" t="str">
        <f aca="false">IF(L957="","",N957-L957*O957)</f>
        <v/>
      </c>
      <c r="T957" s="22" t="str">
        <f aca="false">IF(R957="","",IF(R957&lt;=Q957,"Yes","No"))</f>
        <v/>
      </c>
      <c r="U957" s="22" t="str">
        <f aca="false">IF(B957="","",TEXT(YEAR(B957),"0"))</f>
        <v/>
      </c>
    </row>
    <row r="958" customFormat="false" ht="15" hidden="false" customHeight="false" outlineLevel="0" collapsed="false">
      <c r="B958" s="28"/>
      <c r="C958" s="24" t="str">
        <f aca="false">IF(B958="","",DATE(YEAR(B958),MONTH(B958),1))</f>
        <v/>
      </c>
      <c r="N958" s="26" t="str">
        <f aca="false">IF(L958="","",L958*M958)</f>
        <v/>
      </c>
      <c r="P958" s="26" t="str">
        <f aca="false">IF(L958="","",N958-L958*O958)</f>
        <v/>
      </c>
      <c r="T958" s="22" t="str">
        <f aca="false">IF(R958="","",IF(R958&lt;=Q958,"Yes","No"))</f>
        <v/>
      </c>
      <c r="U958" s="22" t="str">
        <f aca="false">IF(B958="","",TEXT(YEAR(B958),"0"))</f>
        <v/>
      </c>
    </row>
    <row r="959" customFormat="false" ht="15" hidden="false" customHeight="false" outlineLevel="0" collapsed="false">
      <c r="B959" s="28"/>
      <c r="C959" s="24" t="str">
        <f aca="false">IF(B959="","",DATE(YEAR(B959),MONTH(B959),1))</f>
        <v/>
      </c>
      <c r="N959" s="26" t="str">
        <f aca="false">IF(L959="","",L959*M959)</f>
        <v/>
      </c>
      <c r="P959" s="26" t="str">
        <f aca="false">IF(L959="","",N959-L959*O959)</f>
        <v/>
      </c>
      <c r="T959" s="22" t="str">
        <f aca="false">IF(R959="","",IF(R959&lt;=Q959,"Yes","No"))</f>
        <v/>
      </c>
      <c r="U959" s="22" t="str">
        <f aca="false">IF(B959="","",TEXT(YEAR(B959),"0"))</f>
        <v/>
      </c>
    </row>
    <row r="960" customFormat="false" ht="15" hidden="false" customHeight="false" outlineLevel="0" collapsed="false">
      <c r="B960" s="28"/>
      <c r="C960" s="24" t="str">
        <f aca="false">IF(B960="","",DATE(YEAR(B960),MONTH(B960),1))</f>
        <v/>
      </c>
      <c r="N960" s="26" t="str">
        <f aca="false">IF(L960="","",L960*M960)</f>
        <v/>
      </c>
      <c r="P960" s="26" t="str">
        <f aca="false">IF(L960="","",N960-L960*O960)</f>
        <v/>
      </c>
      <c r="T960" s="22" t="str">
        <f aca="false">IF(R960="","",IF(R960&lt;=Q960,"Yes","No"))</f>
        <v/>
      </c>
      <c r="U960" s="22" t="str">
        <f aca="false">IF(B960="","",TEXT(YEAR(B960),"0"))</f>
        <v/>
      </c>
    </row>
    <row r="961" customFormat="false" ht="15" hidden="false" customHeight="false" outlineLevel="0" collapsed="false">
      <c r="B961" s="28"/>
      <c r="C961" s="24" t="str">
        <f aca="false">IF(B961="","",DATE(YEAR(B961),MONTH(B961),1))</f>
        <v/>
      </c>
      <c r="N961" s="26" t="str">
        <f aca="false">IF(L961="","",L961*M961)</f>
        <v/>
      </c>
      <c r="P961" s="26" t="str">
        <f aca="false">IF(L961="","",N961-L961*O961)</f>
        <v/>
      </c>
      <c r="T961" s="22" t="str">
        <f aca="false">IF(R961="","",IF(R961&lt;=Q961,"Yes","No"))</f>
        <v/>
      </c>
      <c r="U961" s="22" t="str">
        <f aca="false">IF(B961="","",TEXT(YEAR(B961),"0"))</f>
        <v/>
      </c>
    </row>
    <row r="962" customFormat="false" ht="15" hidden="false" customHeight="false" outlineLevel="0" collapsed="false">
      <c r="B962" s="28"/>
      <c r="C962" s="24" t="str">
        <f aca="false">IF(B962="","",DATE(YEAR(B962),MONTH(B962),1))</f>
        <v/>
      </c>
      <c r="N962" s="26" t="str">
        <f aca="false">IF(L962="","",L962*M962)</f>
        <v/>
      </c>
      <c r="P962" s="26" t="str">
        <f aca="false">IF(L962="","",N962-L962*O962)</f>
        <v/>
      </c>
      <c r="T962" s="22" t="str">
        <f aca="false">IF(R962="","",IF(R962&lt;=Q962,"Yes","No"))</f>
        <v/>
      </c>
      <c r="U962" s="22" t="str">
        <f aca="false">IF(B962="","",TEXT(YEAR(B962),"0"))</f>
        <v/>
      </c>
    </row>
    <row r="963" customFormat="false" ht="15" hidden="false" customHeight="false" outlineLevel="0" collapsed="false">
      <c r="B963" s="28"/>
      <c r="C963" s="24" t="str">
        <f aca="false">IF(B963="","",DATE(YEAR(B963),MONTH(B963),1))</f>
        <v/>
      </c>
      <c r="N963" s="26" t="str">
        <f aca="false">IF(L963="","",L963*M963)</f>
        <v/>
      </c>
      <c r="P963" s="26" t="str">
        <f aca="false">IF(L963="","",N963-L963*O963)</f>
        <v/>
      </c>
      <c r="T963" s="22" t="str">
        <f aca="false">IF(R963="","",IF(R963&lt;=Q963,"Yes","No"))</f>
        <v/>
      </c>
      <c r="U963" s="22" t="str">
        <f aca="false">IF(B963="","",TEXT(YEAR(B963),"0"))</f>
        <v/>
      </c>
    </row>
    <row r="964" customFormat="false" ht="15" hidden="false" customHeight="false" outlineLevel="0" collapsed="false">
      <c r="B964" s="28"/>
      <c r="C964" s="24" t="str">
        <f aca="false">IF(B964="","",DATE(YEAR(B964),MONTH(B964),1))</f>
        <v/>
      </c>
      <c r="N964" s="26" t="str">
        <f aca="false">IF(L964="","",L964*M964)</f>
        <v/>
      </c>
      <c r="P964" s="26" t="str">
        <f aca="false">IF(L964="","",N964-L964*O964)</f>
        <v/>
      </c>
      <c r="T964" s="22" t="str">
        <f aca="false">IF(R964="","",IF(R964&lt;=Q964,"Yes","No"))</f>
        <v/>
      </c>
      <c r="U964" s="22" t="str">
        <f aca="false">IF(B964="","",TEXT(YEAR(B964),"0"))</f>
        <v/>
      </c>
    </row>
    <row r="965" customFormat="false" ht="15" hidden="false" customHeight="false" outlineLevel="0" collapsed="false">
      <c r="B965" s="28"/>
      <c r="C965" s="24" t="str">
        <f aca="false">IF(B965="","",DATE(YEAR(B965),MONTH(B965),1))</f>
        <v/>
      </c>
      <c r="N965" s="26" t="str">
        <f aca="false">IF(L965="","",L965*M965)</f>
        <v/>
      </c>
      <c r="P965" s="26" t="str">
        <f aca="false">IF(L965="","",N965-L965*O965)</f>
        <v/>
      </c>
      <c r="T965" s="22" t="str">
        <f aca="false">IF(R965="","",IF(R965&lt;=Q965,"Yes","No"))</f>
        <v/>
      </c>
      <c r="U965" s="22" t="str">
        <f aca="false">IF(B965="","",TEXT(YEAR(B965),"0"))</f>
        <v/>
      </c>
    </row>
    <row r="966" customFormat="false" ht="15" hidden="false" customHeight="false" outlineLevel="0" collapsed="false">
      <c r="B966" s="28"/>
      <c r="C966" s="24" t="str">
        <f aca="false">IF(B966="","",DATE(YEAR(B966),MONTH(B966),1))</f>
        <v/>
      </c>
      <c r="N966" s="26" t="str">
        <f aca="false">IF(L966="","",L966*M966)</f>
        <v/>
      </c>
      <c r="P966" s="26" t="str">
        <f aca="false">IF(L966="","",N966-L966*O966)</f>
        <v/>
      </c>
      <c r="T966" s="22" t="str">
        <f aca="false">IF(R966="","",IF(R966&lt;=Q966,"Yes","No"))</f>
        <v/>
      </c>
      <c r="U966" s="22" t="str">
        <f aca="false">IF(B966="","",TEXT(YEAR(B966),"0"))</f>
        <v/>
      </c>
    </row>
    <row r="967" customFormat="false" ht="15" hidden="false" customHeight="false" outlineLevel="0" collapsed="false">
      <c r="B967" s="28"/>
      <c r="C967" s="24" t="str">
        <f aca="false">IF(B967="","",DATE(YEAR(B967),MONTH(B967),1))</f>
        <v/>
      </c>
      <c r="N967" s="26" t="str">
        <f aca="false">IF(L967="","",L967*M967)</f>
        <v/>
      </c>
      <c r="P967" s="26" t="str">
        <f aca="false">IF(L967="","",N967-L967*O967)</f>
        <v/>
      </c>
      <c r="T967" s="22" t="str">
        <f aca="false">IF(R967="","",IF(R967&lt;=Q967,"Yes","No"))</f>
        <v/>
      </c>
      <c r="U967" s="22" t="str">
        <f aca="false">IF(B967="","",TEXT(YEAR(B967),"0"))</f>
        <v/>
      </c>
    </row>
    <row r="968" customFormat="false" ht="15" hidden="false" customHeight="false" outlineLevel="0" collapsed="false">
      <c r="B968" s="28"/>
      <c r="C968" s="24" t="str">
        <f aca="false">IF(B968="","",DATE(YEAR(B968),MONTH(B968),1))</f>
        <v/>
      </c>
      <c r="N968" s="26" t="str">
        <f aca="false">IF(L968="","",L968*M968)</f>
        <v/>
      </c>
      <c r="P968" s="26" t="str">
        <f aca="false">IF(L968="","",N968-L968*O968)</f>
        <v/>
      </c>
      <c r="T968" s="22" t="str">
        <f aca="false">IF(R968="","",IF(R968&lt;=Q968,"Yes","No"))</f>
        <v/>
      </c>
      <c r="U968" s="22" t="str">
        <f aca="false">IF(B968="","",TEXT(YEAR(B968),"0"))</f>
        <v/>
      </c>
    </row>
    <row r="969" customFormat="false" ht="15" hidden="false" customHeight="false" outlineLevel="0" collapsed="false">
      <c r="B969" s="28"/>
      <c r="C969" s="24" t="str">
        <f aca="false">IF(B969="","",DATE(YEAR(B969),MONTH(B969),1))</f>
        <v/>
      </c>
      <c r="N969" s="26" t="str">
        <f aca="false">IF(L969="","",L969*M969)</f>
        <v/>
      </c>
      <c r="P969" s="26" t="str">
        <f aca="false">IF(L969="","",N969-L969*O969)</f>
        <v/>
      </c>
      <c r="T969" s="22" t="str">
        <f aca="false">IF(R969="","",IF(R969&lt;=Q969,"Yes","No"))</f>
        <v/>
      </c>
      <c r="U969" s="22" t="str">
        <f aca="false">IF(B969="","",TEXT(YEAR(B969),"0"))</f>
        <v/>
      </c>
    </row>
    <row r="970" customFormat="false" ht="15" hidden="false" customHeight="false" outlineLevel="0" collapsed="false">
      <c r="B970" s="28"/>
      <c r="C970" s="24" t="str">
        <f aca="false">IF(B970="","",DATE(YEAR(B970),MONTH(B970),1))</f>
        <v/>
      </c>
      <c r="N970" s="26" t="str">
        <f aca="false">IF(L970="","",L970*M970)</f>
        <v/>
      </c>
      <c r="P970" s="26" t="str">
        <f aca="false">IF(L970="","",N970-L970*O970)</f>
        <v/>
      </c>
      <c r="T970" s="22" t="str">
        <f aca="false">IF(R970="","",IF(R970&lt;=Q970,"Yes","No"))</f>
        <v/>
      </c>
      <c r="U970" s="22" t="str">
        <f aca="false">IF(B970="","",TEXT(YEAR(B970),"0"))</f>
        <v/>
      </c>
    </row>
    <row r="971" customFormat="false" ht="15" hidden="false" customHeight="false" outlineLevel="0" collapsed="false">
      <c r="B971" s="28"/>
      <c r="C971" s="24" t="str">
        <f aca="false">IF(B971="","",DATE(YEAR(B971),MONTH(B971),1))</f>
        <v/>
      </c>
      <c r="N971" s="26" t="str">
        <f aca="false">IF(L971="","",L971*M971)</f>
        <v/>
      </c>
      <c r="P971" s="26" t="str">
        <f aca="false">IF(L971="","",N971-L971*O971)</f>
        <v/>
      </c>
      <c r="T971" s="22" t="str">
        <f aca="false">IF(R971="","",IF(R971&lt;=Q971,"Yes","No"))</f>
        <v/>
      </c>
      <c r="U971" s="22" t="str">
        <f aca="false">IF(B971="","",TEXT(YEAR(B971),"0"))</f>
        <v/>
      </c>
    </row>
    <row r="972" customFormat="false" ht="15" hidden="false" customHeight="false" outlineLevel="0" collapsed="false">
      <c r="B972" s="28"/>
      <c r="C972" s="24" t="str">
        <f aca="false">IF(B972="","",DATE(YEAR(B972),MONTH(B972),1))</f>
        <v/>
      </c>
      <c r="N972" s="26" t="str">
        <f aca="false">IF(L972="","",L972*M972)</f>
        <v/>
      </c>
      <c r="P972" s="26" t="str">
        <f aca="false">IF(L972="","",N972-L972*O972)</f>
        <v/>
      </c>
      <c r="T972" s="22" t="str">
        <f aca="false">IF(R972="","",IF(R972&lt;=Q972,"Yes","No"))</f>
        <v/>
      </c>
      <c r="U972" s="22" t="str">
        <f aca="false">IF(B972="","",TEXT(YEAR(B972),"0"))</f>
        <v/>
      </c>
    </row>
    <row r="973" customFormat="false" ht="15" hidden="false" customHeight="false" outlineLevel="0" collapsed="false">
      <c r="B973" s="28"/>
      <c r="C973" s="24" t="str">
        <f aca="false">IF(B973="","",DATE(YEAR(B973),MONTH(B973),1))</f>
        <v/>
      </c>
      <c r="N973" s="26" t="str">
        <f aca="false">IF(L973="","",L973*M973)</f>
        <v/>
      </c>
      <c r="P973" s="26" t="str">
        <f aca="false">IF(L973="","",N973-L973*O973)</f>
        <v/>
      </c>
      <c r="T973" s="22" t="str">
        <f aca="false">IF(R973="","",IF(R973&lt;=Q973,"Yes","No"))</f>
        <v/>
      </c>
      <c r="U973" s="22" t="str">
        <f aca="false">IF(B973="","",TEXT(YEAR(B973),"0"))</f>
        <v/>
      </c>
    </row>
    <row r="974" customFormat="false" ht="15" hidden="false" customHeight="false" outlineLevel="0" collapsed="false">
      <c r="B974" s="28"/>
      <c r="C974" s="24" t="str">
        <f aca="false">IF(B974="","",DATE(YEAR(B974),MONTH(B974),1))</f>
        <v/>
      </c>
      <c r="N974" s="26" t="str">
        <f aca="false">IF(L974="","",L974*M974)</f>
        <v/>
      </c>
      <c r="P974" s="26" t="str">
        <f aca="false">IF(L974="","",N974-L974*O974)</f>
        <v/>
      </c>
      <c r="T974" s="22" t="str">
        <f aca="false">IF(R974="","",IF(R974&lt;=Q974,"Yes","No"))</f>
        <v/>
      </c>
      <c r="U974" s="22" t="str">
        <f aca="false">IF(B974="","",TEXT(YEAR(B974),"0"))</f>
        <v/>
      </c>
    </row>
    <row r="975" customFormat="false" ht="15" hidden="false" customHeight="false" outlineLevel="0" collapsed="false">
      <c r="B975" s="28"/>
      <c r="C975" s="24" t="str">
        <f aca="false">IF(B975="","",DATE(YEAR(B975),MONTH(B975),1))</f>
        <v/>
      </c>
      <c r="N975" s="26" t="str">
        <f aca="false">IF(L975="","",L975*M975)</f>
        <v/>
      </c>
      <c r="P975" s="26" t="str">
        <f aca="false">IF(L975="","",N975-L975*O975)</f>
        <v/>
      </c>
      <c r="T975" s="22" t="str">
        <f aca="false">IF(R975="","",IF(R975&lt;=Q975,"Yes","No"))</f>
        <v/>
      </c>
      <c r="U975" s="22" t="str">
        <f aca="false">IF(B975="","",TEXT(YEAR(B975),"0"))</f>
        <v/>
      </c>
    </row>
    <row r="976" customFormat="false" ht="15" hidden="false" customHeight="false" outlineLevel="0" collapsed="false">
      <c r="B976" s="28"/>
      <c r="C976" s="24" t="str">
        <f aca="false">IF(B976="","",DATE(YEAR(B976),MONTH(B976),1))</f>
        <v/>
      </c>
      <c r="N976" s="26" t="str">
        <f aca="false">IF(L976="","",L976*M976)</f>
        <v/>
      </c>
      <c r="P976" s="26" t="str">
        <f aca="false">IF(L976="","",N976-L976*O976)</f>
        <v/>
      </c>
      <c r="T976" s="22" t="str">
        <f aca="false">IF(R976="","",IF(R976&lt;=Q976,"Yes","No"))</f>
        <v/>
      </c>
      <c r="U976" s="22" t="str">
        <f aca="false">IF(B976="","",TEXT(YEAR(B976),"0"))</f>
        <v/>
      </c>
    </row>
    <row r="977" customFormat="false" ht="15" hidden="false" customHeight="false" outlineLevel="0" collapsed="false">
      <c r="B977" s="28"/>
      <c r="C977" s="24" t="str">
        <f aca="false">IF(B977="","",DATE(YEAR(B977),MONTH(B977),1))</f>
        <v/>
      </c>
      <c r="N977" s="26" t="str">
        <f aca="false">IF(L977="","",L977*M977)</f>
        <v/>
      </c>
      <c r="P977" s="26" t="str">
        <f aca="false">IF(L977="","",N977-L977*O977)</f>
        <v/>
      </c>
      <c r="T977" s="22" t="str">
        <f aca="false">IF(R977="","",IF(R977&lt;=Q977,"Yes","No"))</f>
        <v/>
      </c>
      <c r="U977" s="22" t="str">
        <f aca="false">IF(B977="","",TEXT(YEAR(B977),"0"))</f>
        <v/>
      </c>
    </row>
    <row r="978" customFormat="false" ht="15" hidden="false" customHeight="false" outlineLevel="0" collapsed="false">
      <c r="B978" s="28"/>
      <c r="C978" s="24" t="str">
        <f aca="false">IF(B978="","",DATE(YEAR(B978),MONTH(B978),1))</f>
        <v/>
      </c>
      <c r="N978" s="26" t="str">
        <f aca="false">IF(L978="","",L978*M978)</f>
        <v/>
      </c>
      <c r="P978" s="26" t="str">
        <f aca="false">IF(L978="","",N978-L978*O978)</f>
        <v/>
      </c>
      <c r="T978" s="22" t="str">
        <f aca="false">IF(R978="","",IF(R978&lt;=Q978,"Yes","No"))</f>
        <v/>
      </c>
      <c r="U978" s="22" t="str">
        <f aca="false">IF(B978="","",TEXT(YEAR(B978),"0"))</f>
        <v/>
      </c>
    </row>
    <row r="979" customFormat="false" ht="15" hidden="false" customHeight="false" outlineLevel="0" collapsed="false">
      <c r="B979" s="28"/>
      <c r="C979" s="24" t="str">
        <f aca="false">IF(B979="","",DATE(YEAR(B979),MONTH(B979),1))</f>
        <v/>
      </c>
      <c r="N979" s="26" t="str">
        <f aca="false">IF(L979="","",L979*M979)</f>
        <v/>
      </c>
      <c r="P979" s="26" t="str">
        <f aca="false">IF(L979="","",N979-L979*O979)</f>
        <v/>
      </c>
      <c r="T979" s="22" t="str">
        <f aca="false">IF(R979="","",IF(R979&lt;=Q979,"Yes","No"))</f>
        <v/>
      </c>
      <c r="U979" s="22" t="str">
        <f aca="false">IF(B979="","",TEXT(YEAR(B979),"0"))</f>
        <v/>
      </c>
    </row>
    <row r="980" customFormat="false" ht="15" hidden="false" customHeight="false" outlineLevel="0" collapsed="false">
      <c r="B980" s="28"/>
      <c r="C980" s="24" t="str">
        <f aca="false">IF(B980="","",DATE(YEAR(B980),MONTH(B980),1))</f>
        <v/>
      </c>
      <c r="N980" s="26" t="str">
        <f aca="false">IF(L980="","",L980*M980)</f>
        <v/>
      </c>
      <c r="P980" s="26" t="str">
        <f aca="false">IF(L980="","",N980-L980*O980)</f>
        <v/>
      </c>
      <c r="T980" s="22" t="str">
        <f aca="false">IF(R980="","",IF(R980&lt;=Q980,"Yes","No"))</f>
        <v/>
      </c>
      <c r="U980" s="22" t="str">
        <f aca="false">IF(B980="","",TEXT(YEAR(B980),"0"))</f>
        <v/>
      </c>
    </row>
    <row r="981" customFormat="false" ht="15" hidden="false" customHeight="false" outlineLevel="0" collapsed="false">
      <c r="B981" s="28"/>
      <c r="C981" s="24" t="str">
        <f aca="false">IF(B981="","",DATE(YEAR(B981),MONTH(B981),1))</f>
        <v/>
      </c>
      <c r="N981" s="26" t="str">
        <f aca="false">IF(L981="","",L981*M981)</f>
        <v/>
      </c>
      <c r="P981" s="26" t="str">
        <f aca="false">IF(L981="","",N981-L981*O981)</f>
        <v/>
      </c>
      <c r="T981" s="22" t="str">
        <f aca="false">IF(R981="","",IF(R981&lt;=Q981,"Yes","No"))</f>
        <v/>
      </c>
      <c r="U981" s="22" t="str">
        <f aca="false">IF(B981="","",TEXT(YEAR(B981),"0"))</f>
        <v/>
      </c>
    </row>
    <row r="982" customFormat="false" ht="15" hidden="false" customHeight="false" outlineLevel="0" collapsed="false">
      <c r="B982" s="28"/>
      <c r="C982" s="24" t="str">
        <f aca="false">IF(B982="","",DATE(YEAR(B982),MONTH(B982),1))</f>
        <v/>
      </c>
      <c r="N982" s="26" t="str">
        <f aca="false">IF(L982="","",L982*M982)</f>
        <v/>
      </c>
      <c r="P982" s="26" t="str">
        <f aca="false">IF(L982="","",N982-L982*O982)</f>
        <v/>
      </c>
      <c r="T982" s="22" t="str">
        <f aca="false">IF(R982="","",IF(R982&lt;=Q982,"Yes","No"))</f>
        <v/>
      </c>
      <c r="U982" s="22" t="str">
        <f aca="false">IF(B982="","",TEXT(YEAR(B982),"0"))</f>
        <v/>
      </c>
    </row>
    <row r="983" customFormat="false" ht="15" hidden="false" customHeight="false" outlineLevel="0" collapsed="false">
      <c r="B983" s="28"/>
      <c r="C983" s="24" t="str">
        <f aca="false">IF(B983="","",DATE(YEAR(B983),MONTH(B983),1))</f>
        <v/>
      </c>
      <c r="N983" s="26" t="str">
        <f aca="false">IF(L983="","",L983*M983)</f>
        <v/>
      </c>
      <c r="P983" s="26" t="str">
        <f aca="false">IF(L983="","",N983-L983*O983)</f>
        <v/>
      </c>
      <c r="T983" s="22" t="str">
        <f aca="false">IF(R983="","",IF(R983&lt;=Q983,"Yes","No"))</f>
        <v/>
      </c>
      <c r="U983" s="22" t="str">
        <f aca="false">IF(B983="","",TEXT(YEAR(B983),"0"))</f>
        <v/>
      </c>
    </row>
    <row r="984" customFormat="false" ht="15" hidden="false" customHeight="false" outlineLevel="0" collapsed="false">
      <c r="B984" s="28"/>
      <c r="C984" s="24" t="str">
        <f aca="false">IF(B984="","",DATE(YEAR(B984),MONTH(B984),1))</f>
        <v/>
      </c>
      <c r="N984" s="26" t="str">
        <f aca="false">IF(L984="","",L984*M984)</f>
        <v/>
      </c>
      <c r="P984" s="26" t="str">
        <f aca="false">IF(L984="","",N984-L984*O984)</f>
        <v/>
      </c>
      <c r="T984" s="22" t="str">
        <f aca="false">IF(R984="","",IF(R984&lt;=Q984,"Yes","No"))</f>
        <v/>
      </c>
      <c r="U984" s="22" t="str">
        <f aca="false">IF(B984="","",TEXT(YEAR(B984),"0"))</f>
        <v/>
      </c>
    </row>
    <row r="985" customFormat="false" ht="15" hidden="false" customHeight="false" outlineLevel="0" collapsed="false">
      <c r="B985" s="28"/>
      <c r="C985" s="24" t="str">
        <f aca="false">IF(B985="","",DATE(YEAR(B985),MONTH(B985),1))</f>
        <v/>
      </c>
      <c r="N985" s="26" t="str">
        <f aca="false">IF(L985="","",L985*M985)</f>
        <v/>
      </c>
      <c r="P985" s="26" t="str">
        <f aca="false">IF(L985="","",N985-L985*O985)</f>
        <v/>
      </c>
      <c r="T985" s="22" t="str">
        <f aca="false">IF(R985="","",IF(R985&lt;=Q985,"Yes","No"))</f>
        <v/>
      </c>
      <c r="U985" s="22" t="str">
        <f aca="false">IF(B985="","",TEXT(YEAR(B985),"0"))</f>
        <v/>
      </c>
    </row>
    <row r="986" customFormat="false" ht="15" hidden="false" customHeight="false" outlineLevel="0" collapsed="false">
      <c r="B986" s="28"/>
      <c r="C986" s="24" t="str">
        <f aca="false">IF(B986="","",DATE(YEAR(B986),MONTH(B986),1))</f>
        <v/>
      </c>
      <c r="N986" s="26" t="str">
        <f aca="false">IF(L986="","",L986*M986)</f>
        <v/>
      </c>
      <c r="P986" s="26" t="str">
        <f aca="false">IF(L986="","",N986-L986*O986)</f>
        <v/>
      </c>
      <c r="T986" s="22" t="str">
        <f aca="false">IF(R986="","",IF(R986&lt;=Q986,"Yes","No"))</f>
        <v/>
      </c>
      <c r="U986" s="22" t="str">
        <f aca="false">IF(B986="","",TEXT(YEAR(B986),"0"))</f>
        <v/>
      </c>
    </row>
    <row r="987" customFormat="false" ht="15" hidden="false" customHeight="false" outlineLevel="0" collapsed="false">
      <c r="B987" s="28"/>
      <c r="C987" s="24" t="str">
        <f aca="false">IF(B987="","",DATE(YEAR(B987),MONTH(B987),1))</f>
        <v/>
      </c>
      <c r="N987" s="26" t="str">
        <f aca="false">IF(L987="","",L987*M987)</f>
        <v/>
      </c>
      <c r="P987" s="26" t="str">
        <f aca="false">IF(L987="","",N987-L987*O987)</f>
        <v/>
      </c>
      <c r="T987" s="22" t="str">
        <f aca="false">IF(R987="","",IF(R987&lt;=Q987,"Yes","No"))</f>
        <v/>
      </c>
      <c r="U987" s="22" t="str">
        <f aca="false">IF(B987="","",TEXT(YEAR(B987),"0"))</f>
        <v/>
      </c>
    </row>
    <row r="988" customFormat="false" ht="15" hidden="false" customHeight="false" outlineLevel="0" collapsed="false">
      <c r="B988" s="28"/>
      <c r="C988" s="24" t="str">
        <f aca="false">IF(B988="","",DATE(YEAR(B988),MONTH(B988),1))</f>
        <v/>
      </c>
      <c r="N988" s="26" t="str">
        <f aca="false">IF(L988="","",L988*M988)</f>
        <v/>
      </c>
      <c r="P988" s="26" t="str">
        <f aca="false">IF(L988="","",N988-L988*O988)</f>
        <v/>
      </c>
      <c r="T988" s="22" t="str">
        <f aca="false">IF(R988="","",IF(R988&lt;=Q988,"Yes","No"))</f>
        <v/>
      </c>
      <c r="U988" s="22" t="str">
        <f aca="false">IF(B988="","",TEXT(YEAR(B988),"0"))</f>
        <v/>
      </c>
    </row>
    <row r="989" customFormat="false" ht="15" hidden="false" customHeight="false" outlineLevel="0" collapsed="false">
      <c r="B989" s="28"/>
      <c r="C989" s="24" t="str">
        <f aca="false">IF(B989="","",DATE(YEAR(B989),MONTH(B989),1))</f>
        <v/>
      </c>
      <c r="N989" s="26" t="str">
        <f aca="false">IF(L989="","",L989*M989)</f>
        <v/>
      </c>
      <c r="P989" s="26" t="str">
        <f aca="false">IF(L989="","",N989-L989*O989)</f>
        <v/>
      </c>
      <c r="T989" s="22" t="str">
        <f aca="false">IF(R989="","",IF(R989&lt;=Q989,"Yes","No"))</f>
        <v/>
      </c>
      <c r="U989" s="22" t="str">
        <f aca="false">IF(B989="","",TEXT(YEAR(B989),"0"))</f>
        <v/>
      </c>
    </row>
    <row r="990" customFormat="false" ht="15" hidden="false" customHeight="false" outlineLevel="0" collapsed="false">
      <c r="B990" s="28"/>
      <c r="C990" s="24" t="str">
        <f aca="false">IF(B990="","",DATE(YEAR(B990),MONTH(B990),1))</f>
        <v/>
      </c>
      <c r="N990" s="26" t="str">
        <f aca="false">IF(L990="","",L990*M990)</f>
        <v/>
      </c>
      <c r="P990" s="26" t="str">
        <f aca="false">IF(L990="","",N990-L990*O990)</f>
        <v/>
      </c>
      <c r="T990" s="22" t="str">
        <f aca="false">IF(R990="","",IF(R990&lt;=Q990,"Yes","No"))</f>
        <v/>
      </c>
      <c r="U990" s="22" t="str">
        <f aca="false">IF(B990="","",TEXT(YEAR(B990),"0"))</f>
        <v/>
      </c>
    </row>
    <row r="991" customFormat="false" ht="15" hidden="false" customHeight="false" outlineLevel="0" collapsed="false">
      <c r="B991" s="28"/>
      <c r="C991" s="24" t="str">
        <f aca="false">IF(B991="","",DATE(YEAR(B991),MONTH(B991),1))</f>
        <v/>
      </c>
      <c r="N991" s="26" t="str">
        <f aca="false">IF(L991="","",L991*M991)</f>
        <v/>
      </c>
      <c r="P991" s="26" t="str">
        <f aca="false">IF(L991="","",N991-L991*O991)</f>
        <v/>
      </c>
      <c r="T991" s="22" t="str">
        <f aca="false">IF(R991="","",IF(R991&lt;=Q991,"Yes","No"))</f>
        <v/>
      </c>
      <c r="U991" s="22" t="str">
        <f aca="false">IF(B991="","",TEXT(YEAR(B991),"0"))</f>
        <v/>
      </c>
    </row>
    <row r="992" customFormat="false" ht="15" hidden="false" customHeight="false" outlineLevel="0" collapsed="false">
      <c r="B992" s="28"/>
      <c r="C992" s="24" t="str">
        <f aca="false">IF(B992="","",DATE(YEAR(B992),MONTH(B992),1))</f>
        <v/>
      </c>
      <c r="N992" s="26" t="str">
        <f aca="false">IF(L992="","",L992*M992)</f>
        <v/>
      </c>
      <c r="P992" s="26" t="str">
        <f aca="false">IF(L992="","",N992-L992*O992)</f>
        <v/>
      </c>
      <c r="T992" s="22" t="str">
        <f aca="false">IF(R992="","",IF(R992&lt;=Q992,"Yes","No"))</f>
        <v/>
      </c>
      <c r="U992" s="22" t="str">
        <f aca="false">IF(B992="","",TEXT(YEAR(B992),"0"))</f>
        <v/>
      </c>
    </row>
    <row r="993" customFormat="false" ht="15" hidden="false" customHeight="false" outlineLevel="0" collapsed="false">
      <c r="B993" s="28"/>
      <c r="C993" s="24" t="str">
        <f aca="false">IF(B993="","",DATE(YEAR(B993),MONTH(B993),1))</f>
        <v/>
      </c>
      <c r="N993" s="26" t="str">
        <f aca="false">IF(L993="","",L993*M993)</f>
        <v/>
      </c>
      <c r="P993" s="26" t="str">
        <f aca="false">IF(L993="","",N993-L993*O993)</f>
        <v/>
      </c>
      <c r="T993" s="22" t="str">
        <f aca="false">IF(R993="","",IF(R993&lt;=Q993,"Yes","No"))</f>
        <v/>
      </c>
      <c r="U993" s="22" t="str">
        <f aca="false">IF(B993="","",TEXT(YEAR(B993),"0"))</f>
        <v/>
      </c>
    </row>
    <row r="994" customFormat="false" ht="15" hidden="false" customHeight="false" outlineLevel="0" collapsed="false">
      <c r="B994" s="28"/>
      <c r="C994" s="24" t="str">
        <f aca="false">IF(B994="","",DATE(YEAR(B994),MONTH(B994),1))</f>
        <v/>
      </c>
      <c r="N994" s="26" t="str">
        <f aca="false">IF(L994="","",L994*M994)</f>
        <v/>
      </c>
      <c r="P994" s="26" t="str">
        <f aca="false">IF(L994="","",N994-L994*O994)</f>
        <v/>
      </c>
      <c r="T994" s="22" t="str">
        <f aca="false">IF(R994="","",IF(R994&lt;=Q994,"Yes","No"))</f>
        <v/>
      </c>
      <c r="U994" s="22" t="str">
        <f aca="false">IF(B994="","",TEXT(YEAR(B994),"0"))</f>
        <v/>
      </c>
    </row>
    <row r="995" customFormat="false" ht="15" hidden="false" customHeight="false" outlineLevel="0" collapsed="false">
      <c r="B995" s="28"/>
      <c r="C995" s="24" t="str">
        <f aca="false">IF(B995="","",DATE(YEAR(B995),MONTH(B995),1))</f>
        <v/>
      </c>
      <c r="N995" s="26" t="str">
        <f aca="false">IF(L995="","",L995*M995)</f>
        <v/>
      </c>
      <c r="P995" s="26" t="str">
        <f aca="false">IF(L995="","",N995-L995*O995)</f>
        <v/>
      </c>
      <c r="T995" s="22" t="str">
        <f aca="false">IF(R995="","",IF(R995&lt;=Q995,"Yes","No"))</f>
        <v/>
      </c>
      <c r="U995" s="22" t="str">
        <f aca="false">IF(B995="","",TEXT(YEAR(B995),"0"))</f>
        <v/>
      </c>
    </row>
    <row r="996" customFormat="false" ht="15" hidden="false" customHeight="false" outlineLevel="0" collapsed="false">
      <c r="B996" s="28"/>
      <c r="C996" s="24" t="str">
        <f aca="false">IF(B996="","",DATE(YEAR(B996),MONTH(B996),1))</f>
        <v/>
      </c>
      <c r="N996" s="26" t="str">
        <f aca="false">IF(L996="","",L996*M996)</f>
        <v/>
      </c>
      <c r="P996" s="26" t="str">
        <f aca="false">IF(L996="","",N996-L996*O996)</f>
        <v/>
      </c>
      <c r="T996" s="22" t="str">
        <f aca="false">IF(R996="","",IF(R996&lt;=Q996,"Yes","No"))</f>
        <v/>
      </c>
      <c r="U996" s="22" t="str">
        <f aca="false">IF(B996="","",TEXT(YEAR(B996),"0"))</f>
        <v/>
      </c>
    </row>
    <row r="997" customFormat="false" ht="15" hidden="false" customHeight="false" outlineLevel="0" collapsed="false">
      <c r="B997" s="28"/>
      <c r="C997" s="24" t="str">
        <f aca="false">IF(B997="","",DATE(YEAR(B997),MONTH(B997),1))</f>
        <v/>
      </c>
      <c r="N997" s="26" t="str">
        <f aca="false">IF(L997="","",L997*M997)</f>
        <v/>
      </c>
      <c r="P997" s="26" t="str">
        <f aca="false">IF(L997="","",N997-L997*O997)</f>
        <v/>
      </c>
      <c r="T997" s="22" t="str">
        <f aca="false">IF(R997="","",IF(R997&lt;=Q997,"Yes","No"))</f>
        <v/>
      </c>
      <c r="U997" s="22" t="str">
        <f aca="false">IF(B997="","",TEXT(YEAR(B997),"0"))</f>
        <v/>
      </c>
    </row>
    <row r="998" customFormat="false" ht="15" hidden="false" customHeight="false" outlineLevel="0" collapsed="false">
      <c r="B998" s="28"/>
      <c r="C998" s="24" t="str">
        <f aca="false">IF(B998="","",DATE(YEAR(B998),MONTH(B998),1))</f>
        <v/>
      </c>
      <c r="N998" s="26" t="str">
        <f aca="false">IF(L998="","",L998*M998)</f>
        <v/>
      </c>
      <c r="P998" s="26" t="str">
        <f aca="false">IF(L998="","",N998-L998*O998)</f>
        <v/>
      </c>
      <c r="T998" s="22" t="str">
        <f aca="false">IF(R998="","",IF(R998&lt;=Q998,"Yes","No"))</f>
        <v/>
      </c>
      <c r="U998" s="22" t="str">
        <f aca="false">IF(B998="","",TEXT(YEAR(B998),"0"))</f>
        <v/>
      </c>
    </row>
    <row r="999" customFormat="false" ht="15" hidden="false" customHeight="false" outlineLevel="0" collapsed="false">
      <c r="B999" s="28"/>
      <c r="C999" s="24" t="str">
        <f aca="false">IF(B999="","",DATE(YEAR(B999),MONTH(B999),1))</f>
        <v/>
      </c>
      <c r="N999" s="26" t="str">
        <f aca="false">IF(L999="","",L999*M999)</f>
        <v/>
      </c>
      <c r="P999" s="26" t="str">
        <f aca="false">IF(L999="","",N999-L999*O999)</f>
        <v/>
      </c>
      <c r="T999" s="22" t="str">
        <f aca="false">IF(R999="","",IF(R999&lt;=Q999,"Yes","No"))</f>
        <v/>
      </c>
      <c r="U999" s="22" t="str">
        <f aca="false">IF(B999="","",TEXT(YEAR(B999),"0"))</f>
        <v/>
      </c>
    </row>
    <row r="1000" customFormat="false" ht="15" hidden="false" customHeight="false" outlineLevel="0" collapsed="false">
      <c r="B1000" s="28"/>
      <c r="C1000" s="24" t="str">
        <f aca="false">IF(B1000="","",DATE(YEAR(B1000),MONTH(B1000),1))</f>
        <v/>
      </c>
      <c r="N1000" s="26" t="str">
        <f aca="false">IF(L1000="","",L1000*M1000)</f>
        <v/>
      </c>
      <c r="P1000" s="26" t="str">
        <f aca="false">IF(L1000="","",N1000-L1000*O1000)</f>
        <v/>
      </c>
      <c r="T1000" s="22" t="str">
        <f aca="false">IF(R1000="","",IF(R1000&lt;=Q1000,"Yes","No"))</f>
        <v/>
      </c>
      <c r="U1000" s="22" t="str">
        <f aca="false">IF(B1000="","",TEXT(YEAR(B1000),"0"))</f>
        <v/>
      </c>
    </row>
    <row r="1001" customFormat="false" ht="15" hidden="false" customHeight="false" outlineLevel="0" collapsed="false">
      <c r="B1001" s="28"/>
      <c r="C1001" s="24" t="str">
        <f aca="false">IF(B1001="","",DATE(YEAR(B1001),MONTH(B1001),1))</f>
        <v/>
      </c>
      <c r="N1001" s="26" t="str">
        <f aca="false">IF(L1001="","",L1001*M1001)</f>
        <v/>
      </c>
      <c r="P1001" s="26" t="str">
        <f aca="false">IF(L1001="","",N1001-L1001*O1001)</f>
        <v/>
      </c>
      <c r="T1001" s="22" t="str">
        <f aca="false">IF(R1001="","",IF(R1001&lt;=Q1001,"Yes","No"))</f>
        <v/>
      </c>
      <c r="U1001" s="22" t="str">
        <f aca="false">IF(B1001="","",TEXT(YEAR(B1001),"0"))</f>
        <v/>
      </c>
    </row>
    <row r="1002" customFormat="false" ht="15" hidden="false" customHeight="false" outlineLevel="0" collapsed="false">
      <c r="B1002" s="28"/>
      <c r="C1002" s="24" t="str">
        <f aca="false">IF(B1002="","",DATE(YEAR(B1002),MONTH(B1002),1))</f>
        <v/>
      </c>
      <c r="N1002" s="26" t="str">
        <f aca="false">IF(L1002="","",L1002*M1002)</f>
        <v/>
      </c>
      <c r="P1002" s="26" t="str">
        <f aca="false">IF(L1002="","",N1002-L1002*O1002)</f>
        <v/>
      </c>
      <c r="T1002" s="22" t="str">
        <f aca="false">IF(R1002="","",IF(R1002&lt;=Q1002,"Yes","No"))</f>
        <v/>
      </c>
      <c r="U1002" s="22" t="str">
        <f aca="false">IF(B1002="","",TEXT(YEAR(B1002),"0"))</f>
        <v/>
      </c>
    </row>
    <row r="1003" customFormat="false" ht="15" hidden="false" customHeight="false" outlineLevel="0" collapsed="false">
      <c r="B1003" s="28"/>
      <c r="C1003" s="24" t="str">
        <f aca="false">IF(B1003="","",DATE(YEAR(B1003),MONTH(B1003),1))</f>
        <v/>
      </c>
      <c r="N1003" s="26" t="str">
        <f aca="false">IF(L1003="","",L1003*M1003)</f>
        <v/>
      </c>
      <c r="P1003" s="26" t="str">
        <f aca="false">IF(L1003="","",N1003-L1003*O1003)</f>
        <v/>
      </c>
      <c r="T1003" s="22" t="str">
        <f aca="false">IF(R1003="","",IF(R1003&lt;=Q1003,"Yes","No"))</f>
        <v/>
      </c>
      <c r="U1003" s="22" t="str">
        <f aca="false">IF(B1003="","",TEXT(YEAR(B1003),"0"))</f>
        <v/>
      </c>
    </row>
    <row r="1004" customFormat="false" ht="15" hidden="false" customHeight="false" outlineLevel="0" collapsed="false">
      <c r="B1004" s="28"/>
      <c r="C1004" s="24" t="str">
        <f aca="false">IF(B1004="","",DATE(YEAR(B1004),MONTH(B1004),1))</f>
        <v/>
      </c>
      <c r="N1004" s="26" t="str">
        <f aca="false">IF(L1004="","",L1004*M1004)</f>
        <v/>
      </c>
      <c r="P1004" s="26" t="str">
        <f aca="false">IF(L1004="","",N1004-L1004*O1004)</f>
        <v/>
      </c>
      <c r="T1004" s="22" t="str">
        <f aca="false">IF(R1004="","",IF(R1004&lt;=Q1004,"Yes","No"))</f>
        <v/>
      </c>
      <c r="U1004" s="22" t="str">
        <f aca="false">IF(B1004="","",TEXT(YEAR(B1004),"0"))</f>
        <v/>
      </c>
    </row>
    <row r="1005" customFormat="false" ht="15" hidden="false" customHeight="false" outlineLevel="0" collapsed="false">
      <c r="B1005" s="28"/>
      <c r="C1005" s="24" t="str">
        <f aca="false">IF(B1005="","",DATE(YEAR(B1005),MONTH(B1005),1))</f>
        <v/>
      </c>
      <c r="N1005" s="26" t="str">
        <f aca="false">IF(L1005="","",L1005*M1005)</f>
        <v/>
      </c>
      <c r="P1005" s="26" t="str">
        <f aca="false">IF(L1005="","",N1005-L1005*O1005)</f>
        <v/>
      </c>
      <c r="T1005" s="22" t="str">
        <f aca="false">IF(R1005="","",IF(R1005&lt;=Q1005,"Yes","No"))</f>
        <v/>
      </c>
      <c r="U1005" s="22" t="str">
        <f aca="false">IF(B1005="","",TEXT(YEAR(B1005),"0"))</f>
        <v/>
      </c>
    </row>
    <row r="1006" customFormat="false" ht="15" hidden="false" customHeight="false" outlineLevel="0" collapsed="false">
      <c r="B1006" s="28"/>
      <c r="C1006" s="24" t="str">
        <f aca="false">IF(B1006="","",DATE(YEAR(B1006),MONTH(B1006),1))</f>
        <v/>
      </c>
      <c r="N1006" s="26" t="str">
        <f aca="false">IF(L1006="","",L1006*M1006)</f>
        <v/>
      </c>
      <c r="P1006" s="26" t="str">
        <f aca="false">IF(L1006="","",N1006-L1006*O1006)</f>
        <v/>
      </c>
      <c r="T1006" s="22" t="str">
        <f aca="false">IF(R1006="","",IF(R1006&lt;=Q1006,"Yes","No"))</f>
        <v/>
      </c>
      <c r="U1006" s="22" t="str">
        <f aca="false">IF(B1006="","",TEXT(YEAR(B1006),"0"))</f>
        <v/>
      </c>
    </row>
    <row r="1007" customFormat="false" ht="15" hidden="false" customHeight="false" outlineLevel="0" collapsed="false">
      <c r="B1007" s="28"/>
      <c r="C1007" s="24" t="str">
        <f aca="false">IF(B1007="","",DATE(YEAR(B1007),MONTH(B1007),1))</f>
        <v/>
      </c>
      <c r="N1007" s="26" t="str">
        <f aca="false">IF(L1007="","",L1007*M1007)</f>
        <v/>
      </c>
      <c r="P1007" s="26" t="str">
        <f aca="false">IF(L1007="","",N1007-L1007*O1007)</f>
        <v/>
      </c>
      <c r="T1007" s="22" t="str">
        <f aca="false">IF(R1007="","",IF(R1007&lt;=Q1007,"Yes","No"))</f>
        <v/>
      </c>
      <c r="U1007" s="22" t="str">
        <f aca="false">IF(B1007="","",TEXT(YEAR(B1007),"0"))</f>
        <v/>
      </c>
    </row>
    <row r="1008" customFormat="false" ht="15" hidden="false" customHeight="false" outlineLevel="0" collapsed="false">
      <c r="B1008" s="28"/>
      <c r="C1008" s="24" t="str">
        <f aca="false">IF(B1008="","",DATE(YEAR(B1008),MONTH(B1008),1))</f>
        <v/>
      </c>
      <c r="N1008" s="26" t="str">
        <f aca="false">IF(L1008="","",L1008*M1008)</f>
        <v/>
      </c>
      <c r="P1008" s="26" t="str">
        <f aca="false">IF(L1008="","",N1008-L1008*O1008)</f>
        <v/>
      </c>
      <c r="T1008" s="22" t="str">
        <f aca="false">IF(R1008="","",IF(R1008&lt;=Q1008,"Yes","No"))</f>
        <v/>
      </c>
      <c r="U1008" s="22" t="str">
        <f aca="false">IF(B1008="","",TEXT(YEAR(B1008),"0"))</f>
        <v/>
      </c>
    </row>
    <row r="1009" customFormat="false" ht="15" hidden="false" customHeight="false" outlineLevel="0" collapsed="false">
      <c r="B1009" s="28"/>
      <c r="C1009" s="24" t="str">
        <f aca="false">IF(B1009="","",DATE(YEAR(B1009),MONTH(B1009),1))</f>
        <v/>
      </c>
      <c r="N1009" s="26" t="str">
        <f aca="false">IF(L1009="","",L1009*M1009)</f>
        <v/>
      </c>
      <c r="P1009" s="26" t="str">
        <f aca="false">IF(L1009="","",N1009-L1009*O1009)</f>
        <v/>
      </c>
      <c r="T1009" s="22" t="str">
        <f aca="false">IF(R1009="","",IF(R1009&lt;=Q1009,"Yes","No"))</f>
        <v/>
      </c>
      <c r="U1009" s="22" t="str">
        <f aca="false">IF(B1009="","",TEXT(YEAR(B1009),"0"))</f>
        <v/>
      </c>
    </row>
    <row r="1010" customFormat="false" ht="15" hidden="false" customHeight="false" outlineLevel="0" collapsed="false">
      <c r="B1010" s="28"/>
      <c r="C1010" s="24" t="str">
        <f aca="false">IF(B1010="","",DATE(YEAR(B1010),MONTH(B1010),1))</f>
        <v/>
      </c>
      <c r="N1010" s="26" t="str">
        <f aca="false">IF(L1010="","",L1010*M1010)</f>
        <v/>
      </c>
      <c r="P1010" s="26" t="str">
        <f aca="false">IF(L1010="","",N1010-L1010*O1010)</f>
        <v/>
      </c>
      <c r="T1010" s="22" t="str">
        <f aca="false">IF(R1010="","",IF(R1010&lt;=Q1010,"Yes","No"))</f>
        <v/>
      </c>
      <c r="U1010" s="22" t="str">
        <f aca="false">IF(B1010="","",TEXT(YEAR(B1010),"0"))</f>
        <v/>
      </c>
    </row>
    <row r="1011" customFormat="false" ht="15" hidden="false" customHeight="false" outlineLevel="0" collapsed="false">
      <c r="B1011" s="28"/>
      <c r="C1011" s="24" t="str">
        <f aca="false">IF(B1011="","",DATE(YEAR(B1011),MONTH(B1011),1))</f>
        <v/>
      </c>
      <c r="N1011" s="26" t="str">
        <f aca="false">IF(L1011="","",L1011*M1011)</f>
        <v/>
      </c>
      <c r="P1011" s="26" t="str">
        <f aca="false">IF(L1011="","",N1011-L1011*O1011)</f>
        <v/>
      </c>
      <c r="T1011" s="22" t="str">
        <f aca="false">IF(R1011="","",IF(R1011&lt;=Q1011,"Yes","No"))</f>
        <v/>
      </c>
      <c r="U1011" s="22" t="str">
        <f aca="false">IF(B1011="","",TEXT(YEAR(B1011),"0"))</f>
        <v/>
      </c>
    </row>
    <row r="1012" customFormat="false" ht="15" hidden="false" customHeight="false" outlineLevel="0" collapsed="false">
      <c r="B1012" s="28"/>
      <c r="C1012" s="24" t="str">
        <f aca="false">IF(B1012="","",DATE(YEAR(B1012),MONTH(B1012),1))</f>
        <v/>
      </c>
      <c r="N1012" s="26" t="str">
        <f aca="false">IF(L1012="","",L1012*M1012)</f>
        <v/>
      </c>
      <c r="P1012" s="26" t="str">
        <f aca="false">IF(L1012="","",N1012-L1012*O1012)</f>
        <v/>
      </c>
      <c r="T1012" s="22" t="str">
        <f aca="false">IF(R1012="","",IF(R1012&lt;=Q1012,"Yes","No"))</f>
        <v/>
      </c>
      <c r="U1012" s="22" t="str">
        <f aca="false">IF(B1012="","",TEXT(YEAR(B1012),"0"))</f>
        <v/>
      </c>
    </row>
    <row r="1013" customFormat="false" ht="15" hidden="false" customHeight="false" outlineLevel="0" collapsed="false">
      <c r="B1013" s="28"/>
      <c r="C1013" s="24" t="str">
        <f aca="false">IF(B1013="","",DATE(YEAR(B1013),MONTH(B1013),1))</f>
        <v/>
      </c>
      <c r="N1013" s="26" t="str">
        <f aca="false">IF(L1013="","",L1013*M1013)</f>
        <v/>
      </c>
      <c r="P1013" s="26" t="str">
        <f aca="false">IF(L1013="","",N1013-L1013*O1013)</f>
        <v/>
      </c>
      <c r="T1013" s="22" t="str">
        <f aca="false">IF(R1013="","",IF(R1013&lt;=Q1013,"Yes","No"))</f>
        <v/>
      </c>
      <c r="U1013" s="22" t="str">
        <f aca="false">IF(B1013="","",TEXT(YEAR(B1013),"0"))</f>
        <v/>
      </c>
    </row>
    <row r="1014" customFormat="false" ht="15" hidden="false" customHeight="false" outlineLevel="0" collapsed="false">
      <c r="B1014" s="28"/>
      <c r="C1014" s="24" t="str">
        <f aca="false">IF(B1014="","",DATE(YEAR(B1014),MONTH(B1014),1))</f>
        <v/>
      </c>
      <c r="N1014" s="26" t="str">
        <f aca="false">IF(L1014="","",L1014*M1014)</f>
        <v/>
      </c>
      <c r="P1014" s="26" t="str">
        <f aca="false">IF(L1014="","",N1014-L1014*O1014)</f>
        <v/>
      </c>
      <c r="T1014" s="22" t="str">
        <f aca="false">IF(R1014="","",IF(R1014&lt;=Q1014,"Yes","No"))</f>
        <v/>
      </c>
      <c r="U1014" s="22" t="str">
        <f aca="false">IF(B1014="","",TEXT(YEAR(B1014),"0"))</f>
        <v/>
      </c>
    </row>
    <row r="1015" customFormat="false" ht="15" hidden="false" customHeight="false" outlineLevel="0" collapsed="false">
      <c r="B1015" s="28"/>
      <c r="C1015" s="24" t="str">
        <f aca="false">IF(B1015="","",DATE(YEAR(B1015),MONTH(B1015),1))</f>
        <v/>
      </c>
      <c r="N1015" s="26" t="str">
        <f aca="false">IF(L1015="","",L1015*M1015)</f>
        <v/>
      </c>
      <c r="P1015" s="26" t="str">
        <f aca="false">IF(L1015="","",N1015-L1015*O1015)</f>
        <v/>
      </c>
      <c r="T1015" s="22" t="str">
        <f aca="false">IF(R1015="","",IF(R1015&lt;=Q1015,"Yes","No"))</f>
        <v/>
      </c>
      <c r="U1015" s="22" t="str">
        <f aca="false">IF(B1015="","",TEXT(YEAR(B1015),"0"))</f>
        <v/>
      </c>
    </row>
    <row r="1016" customFormat="false" ht="15" hidden="false" customHeight="false" outlineLevel="0" collapsed="false">
      <c r="B1016" s="28"/>
      <c r="C1016" s="24" t="str">
        <f aca="false">IF(B1016="","",DATE(YEAR(B1016),MONTH(B1016),1))</f>
        <v/>
      </c>
      <c r="N1016" s="26" t="str">
        <f aca="false">IF(L1016="","",L1016*M1016)</f>
        <v/>
      </c>
      <c r="P1016" s="26" t="str">
        <f aca="false">IF(L1016="","",N1016-L1016*O1016)</f>
        <v/>
      </c>
      <c r="T1016" s="22" t="str">
        <f aca="false">IF(R1016="","",IF(R1016&lt;=Q1016,"Yes","No"))</f>
        <v/>
      </c>
      <c r="U1016" s="22" t="str">
        <f aca="false">IF(B1016="","",TEXT(YEAR(B1016),"0"))</f>
        <v/>
      </c>
    </row>
    <row r="1017" customFormat="false" ht="15" hidden="false" customHeight="false" outlineLevel="0" collapsed="false">
      <c r="B1017" s="28"/>
      <c r="C1017" s="24" t="str">
        <f aca="false">IF(B1017="","",DATE(YEAR(B1017),MONTH(B1017),1))</f>
        <v/>
      </c>
      <c r="N1017" s="26" t="str">
        <f aca="false">IF(L1017="","",L1017*M1017)</f>
        <v/>
      </c>
      <c r="P1017" s="26" t="str">
        <f aca="false">IF(L1017="","",N1017-L1017*O1017)</f>
        <v/>
      </c>
      <c r="T1017" s="22" t="str">
        <f aca="false">IF(R1017="","",IF(R1017&lt;=Q1017,"Yes","No"))</f>
        <v/>
      </c>
      <c r="U1017" s="22" t="str">
        <f aca="false">IF(B1017="","",TEXT(YEAR(B1017),"0"))</f>
        <v/>
      </c>
    </row>
    <row r="1018" customFormat="false" ht="15" hidden="false" customHeight="false" outlineLevel="0" collapsed="false">
      <c r="B1018" s="28"/>
      <c r="C1018" s="24" t="str">
        <f aca="false">IF(B1018="","",DATE(YEAR(B1018),MONTH(B1018),1))</f>
        <v/>
      </c>
      <c r="N1018" s="26" t="str">
        <f aca="false">IF(L1018="","",L1018*M1018)</f>
        <v/>
      </c>
      <c r="P1018" s="26" t="str">
        <f aca="false">IF(L1018="","",N1018-L1018*O1018)</f>
        <v/>
      </c>
      <c r="T1018" s="22" t="str">
        <f aca="false">IF(R1018="","",IF(R1018&lt;=Q1018,"Yes","No"))</f>
        <v/>
      </c>
      <c r="U1018" s="22" t="str">
        <f aca="false">IF(B1018="","",TEXT(YEAR(B1018),"0"))</f>
        <v/>
      </c>
    </row>
    <row r="1019" customFormat="false" ht="15" hidden="false" customHeight="false" outlineLevel="0" collapsed="false">
      <c r="B1019" s="28"/>
      <c r="C1019" s="24" t="str">
        <f aca="false">IF(B1019="","",DATE(YEAR(B1019),MONTH(B1019),1))</f>
        <v/>
      </c>
      <c r="N1019" s="26" t="str">
        <f aca="false">IF(L1019="","",L1019*M1019)</f>
        <v/>
      </c>
      <c r="P1019" s="26" t="str">
        <f aca="false">IF(L1019="","",N1019-L1019*O1019)</f>
        <v/>
      </c>
      <c r="T1019" s="22" t="str">
        <f aca="false">IF(R1019="","",IF(R1019&lt;=Q1019,"Yes","No"))</f>
        <v/>
      </c>
      <c r="U1019" s="22" t="str">
        <f aca="false">IF(B1019="","",TEXT(YEAR(B1019),"0"))</f>
        <v/>
      </c>
    </row>
    <row r="1020" customFormat="false" ht="15" hidden="false" customHeight="false" outlineLevel="0" collapsed="false">
      <c r="B1020" s="28"/>
      <c r="C1020" s="24" t="str">
        <f aca="false">IF(B1020="","",DATE(YEAR(B1020),MONTH(B1020),1))</f>
        <v/>
      </c>
      <c r="N1020" s="26" t="str">
        <f aca="false">IF(L1020="","",L1020*M1020)</f>
        <v/>
      </c>
      <c r="P1020" s="26" t="str">
        <f aca="false">IF(L1020="","",N1020-L1020*O1020)</f>
        <v/>
      </c>
      <c r="T1020" s="22" t="str">
        <f aca="false">IF(R1020="","",IF(R1020&lt;=Q1020,"Yes","No"))</f>
        <v/>
      </c>
      <c r="U1020" s="22" t="str">
        <f aca="false">IF(B1020="","",TEXT(YEAR(B1020),"0"))</f>
        <v/>
      </c>
    </row>
    <row r="1021" customFormat="false" ht="15" hidden="false" customHeight="false" outlineLevel="0" collapsed="false">
      <c r="B1021" s="28"/>
      <c r="C1021" s="24" t="str">
        <f aca="false">IF(B1021="","",DATE(YEAR(B1021),MONTH(B1021),1))</f>
        <v/>
      </c>
      <c r="N1021" s="26" t="str">
        <f aca="false">IF(L1021="","",L1021*M1021)</f>
        <v/>
      </c>
      <c r="P1021" s="26" t="str">
        <f aca="false">IF(L1021="","",N1021-L1021*O1021)</f>
        <v/>
      </c>
      <c r="T1021" s="22" t="str">
        <f aca="false">IF(R1021="","",IF(R1021&lt;=Q1021,"Yes","No"))</f>
        <v/>
      </c>
      <c r="U1021" s="22" t="str">
        <f aca="false">IF(B1021="","",TEXT(YEAR(B1021),"0"))</f>
        <v/>
      </c>
    </row>
    <row r="1022" customFormat="false" ht="15" hidden="false" customHeight="false" outlineLevel="0" collapsed="false">
      <c r="B1022" s="28"/>
      <c r="C1022" s="24" t="str">
        <f aca="false">IF(B1022="","",DATE(YEAR(B1022),MONTH(B1022),1))</f>
        <v/>
      </c>
      <c r="N1022" s="26" t="str">
        <f aca="false">IF(L1022="","",L1022*M1022)</f>
        <v/>
      </c>
      <c r="P1022" s="26" t="str">
        <f aca="false">IF(L1022="","",N1022-L1022*O1022)</f>
        <v/>
      </c>
      <c r="T1022" s="22" t="str">
        <f aca="false">IF(R1022="","",IF(R1022&lt;=Q1022,"Yes","No"))</f>
        <v/>
      </c>
      <c r="U1022" s="22" t="str">
        <f aca="false">IF(B1022="","",TEXT(YEAR(B1022),"0"))</f>
        <v/>
      </c>
    </row>
    <row r="1023" customFormat="false" ht="15" hidden="false" customHeight="false" outlineLevel="0" collapsed="false">
      <c r="B1023" s="28"/>
      <c r="C1023" s="24" t="str">
        <f aca="false">IF(B1023="","",DATE(YEAR(B1023),MONTH(B1023),1))</f>
        <v/>
      </c>
      <c r="N1023" s="26" t="str">
        <f aca="false">IF(L1023="","",L1023*M1023)</f>
        <v/>
      </c>
      <c r="P1023" s="26" t="str">
        <f aca="false">IF(L1023="","",N1023-L1023*O1023)</f>
        <v/>
      </c>
      <c r="T1023" s="22" t="str">
        <f aca="false">IF(R1023="","",IF(R1023&lt;=Q1023,"Yes","No"))</f>
        <v/>
      </c>
      <c r="U1023" s="22" t="str">
        <f aca="false">IF(B1023="","",TEXT(YEAR(B1023),"0"))</f>
        <v/>
      </c>
    </row>
    <row r="1024" customFormat="false" ht="15" hidden="false" customHeight="false" outlineLevel="0" collapsed="false">
      <c r="B1024" s="28"/>
      <c r="C1024" s="24" t="str">
        <f aca="false">IF(B1024="","",DATE(YEAR(B1024),MONTH(B1024),1))</f>
        <v/>
      </c>
      <c r="N1024" s="26" t="str">
        <f aca="false">IF(L1024="","",L1024*M1024)</f>
        <v/>
      </c>
      <c r="P1024" s="26" t="str">
        <f aca="false">IF(L1024="","",N1024-L1024*O1024)</f>
        <v/>
      </c>
      <c r="T1024" s="22" t="str">
        <f aca="false">IF(R1024="","",IF(R1024&lt;=Q1024,"Yes","No"))</f>
        <v/>
      </c>
      <c r="U1024" s="22" t="str">
        <f aca="false">IF(B1024="","",TEXT(YEAR(B1024),"0"))</f>
        <v/>
      </c>
    </row>
    <row r="1025" customFormat="false" ht="15" hidden="false" customHeight="false" outlineLevel="0" collapsed="false">
      <c r="B1025" s="28"/>
      <c r="C1025" s="24" t="str">
        <f aca="false">IF(B1025="","",DATE(YEAR(B1025),MONTH(B1025),1))</f>
        <v/>
      </c>
      <c r="N1025" s="26" t="str">
        <f aca="false">IF(L1025="","",L1025*M1025)</f>
        <v/>
      </c>
      <c r="P1025" s="26" t="str">
        <f aca="false">IF(L1025="","",N1025-L1025*O1025)</f>
        <v/>
      </c>
      <c r="T1025" s="22" t="str">
        <f aca="false">IF(R1025="","",IF(R1025&lt;=Q1025,"Yes","No"))</f>
        <v/>
      </c>
      <c r="U1025" s="22" t="str">
        <f aca="false">IF(B1025="","",TEXT(YEAR(B1025),"0"))</f>
        <v/>
      </c>
    </row>
    <row r="1026" customFormat="false" ht="15" hidden="false" customHeight="false" outlineLevel="0" collapsed="false">
      <c r="B1026" s="28"/>
      <c r="C1026" s="24" t="str">
        <f aca="false">IF(B1026="","",DATE(YEAR(B1026),MONTH(B1026),1))</f>
        <v/>
      </c>
      <c r="N1026" s="26" t="str">
        <f aca="false">IF(L1026="","",L1026*M1026)</f>
        <v/>
      </c>
      <c r="P1026" s="26" t="str">
        <f aca="false">IF(L1026="","",N1026-L1026*O1026)</f>
        <v/>
      </c>
      <c r="T1026" s="22" t="str">
        <f aca="false">IF(R1026="","",IF(R1026&lt;=Q1026,"Yes","No"))</f>
        <v/>
      </c>
      <c r="U1026" s="22" t="str">
        <f aca="false">IF(B1026="","",TEXT(YEAR(B1026),"0"))</f>
        <v/>
      </c>
    </row>
    <row r="1027" customFormat="false" ht="15" hidden="false" customHeight="false" outlineLevel="0" collapsed="false">
      <c r="B1027" s="28"/>
      <c r="C1027" s="24" t="str">
        <f aca="false">IF(B1027="","",DATE(YEAR(B1027),MONTH(B1027),1))</f>
        <v/>
      </c>
      <c r="N1027" s="26" t="str">
        <f aca="false">IF(L1027="","",L1027*M1027)</f>
        <v/>
      </c>
      <c r="P1027" s="26" t="str">
        <f aca="false">IF(L1027="","",N1027-L1027*O1027)</f>
        <v/>
      </c>
      <c r="T1027" s="22" t="str">
        <f aca="false">IF(R1027="","",IF(R1027&lt;=Q1027,"Yes","No"))</f>
        <v/>
      </c>
      <c r="U1027" s="22" t="str">
        <f aca="false">IF(B1027="","",TEXT(YEAR(B1027),"0"))</f>
        <v/>
      </c>
    </row>
    <row r="1028" customFormat="false" ht="15" hidden="false" customHeight="false" outlineLevel="0" collapsed="false">
      <c r="B1028" s="28"/>
      <c r="C1028" s="24" t="str">
        <f aca="false">IF(B1028="","",DATE(YEAR(B1028),MONTH(B1028),1))</f>
        <v/>
      </c>
      <c r="N1028" s="26" t="str">
        <f aca="false">IF(L1028="","",L1028*M1028)</f>
        <v/>
      </c>
      <c r="P1028" s="26" t="str">
        <f aca="false">IF(L1028="","",N1028-L1028*O1028)</f>
        <v/>
      </c>
      <c r="T1028" s="22" t="str">
        <f aca="false">IF(R1028="","",IF(R1028&lt;=Q1028,"Yes","No"))</f>
        <v/>
      </c>
      <c r="U1028" s="22" t="str">
        <f aca="false">IF(B1028="","",TEXT(YEAR(B1028),"0"))</f>
        <v/>
      </c>
    </row>
    <row r="1029" customFormat="false" ht="15" hidden="false" customHeight="false" outlineLevel="0" collapsed="false">
      <c r="B1029" s="28"/>
      <c r="C1029" s="24" t="str">
        <f aca="false">IF(B1029="","",DATE(YEAR(B1029),MONTH(B1029),1))</f>
        <v/>
      </c>
      <c r="N1029" s="26" t="str">
        <f aca="false">IF(L1029="","",L1029*M1029)</f>
        <v/>
      </c>
      <c r="P1029" s="26" t="str">
        <f aca="false">IF(L1029="","",N1029-L1029*O1029)</f>
        <v/>
      </c>
      <c r="T1029" s="22" t="str">
        <f aca="false">IF(R1029="","",IF(R1029&lt;=Q1029,"Yes","No"))</f>
        <v/>
      </c>
      <c r="U1029" s="22" t="str">
        <f aca="false">IF(B1029="","",TEXT(YEAR(B1029),"0"))</f>
        <v/>
      </c>
    </row>
    <row r="1030" customFormat="false" ht="15" hidden="false" customHeight="false" outlineLevel="0" collapsed="false">
      <c r="B1030" s="28"/>
      <c r="C1030" s="24" t="str">
        <f aca="false">IF(B1030="","",DATE(YEAR(B1030),MONTH(B1030),1))</f>
        <v/>
      </c>
      <c r="N1030" s="26" t="str">
        <f aca="false">IF(L1030="","",L1030*M1030)</f>
        <v/>
      </c>
      <c r="P1030" s="26" t="str">
        <f aca="false">IF(L1030="","",N1030-L1030*O1030)</f>
        <v/>
      </c>
      <c r="T1030" s="22" t="str">
        <f aca="false">IF(R1030="","",IF(R1030&lt;=Q1030,"Yes","No"))</f>
        <v/>
      </c>
      <c r="U1030" s="22" t="str">
        <f aca="false">IF(B1030="","",TEXT(YEAR(B1030),"0"))</f>
        <v/>
      </c>
    </row>
    <row r="1031" customFormat="false" ht="15" hidden="false" customHeight="false" outlineLevel="0" collapsed="false">
      <c r="B1031" s="28"/>
      <c r="C1031" s="24" t="str">
        <f aca="false">IF(B1031="","",DATE(YEAR(B1031),MONTH(B1031),1))</f>
        <v/>
      </c>
      <c r="N1031" s="26" t="str">
        <f aca="false">IF(L1031="","",L1031*M1031)</f>
        <v/>
      </c>
      <c r="P1031" s="26" t="str">
        <f aca="false">IF(L1031="","",N1031-L1031*O1031)</f>
        <v/>
      </c>
      <c r="T1031" s="22" t="str">
        <f aca="false">IF(R1031="","",IF(R1031&lt;=Q1031,"Yes","No"))</f>
        <v/>
      </c>
      <c r="U1031" s="22" t="str">
        <f aca="false">IF(B1031="","",TEXT(YEAR(B1031),"0"))</f>
        <v/>
      </c>
    </row>
    <row r="1032" customFormat="false" ht="15" hidden="false" customHeight="false" outlineLevel="0" collapsed="false">
      <c r="B1032" s="28"/>
      <c r="C1032" s="24" t="str">
        <f aca="false">IF(B1032="","",DATE(YEAR(B1032),MONTH(B1032),1))</f>
        <v/>
      </c>
      <c r="N1032" s="26" t="str">
        <f aca="false">IF(L1032="","",L1032*M1032)</f>
        <v/>
      </c>
      <c r="P1032" s="26" t="str">
        <f aca="false">IF(L1032="","",N1032-L1032*O1032)</f>
        <v/>
      </c>
      <c r="T1032" s="22" t="str">
        <f aca="false">IF(R1032="","",IF(R1032&lt;=Q1032,"Yes","No"))</f>
        <v/>
      </c>
      <c r="U1032" s="22" t="str">
        <f aca="false">IF(B1032="","",TEXT(YEAR(B1032),"0"))</f>
        <v/>
      </c>
    </row>
    <row r="1033" customFormat="false" ht="15" hidden="false" customHeight="false" outlineLevel="0" collapsed="false">
      <c r="B1033" s="28"/>
      <c r="C1033" s="24" t="str">
        <f aca="false">IF(B1033="","",DATE(YEAR(B1033),MONTH(B1033),1))</f>
        <v/>
      </c>
      <c r="N1033" s="26" t="str">
        <f aca="false">IF(L1033="","",L1033*M1033)</f>
        <v/>
      </c>
      <c r="P1033" s="26" t="str">
        <f aca="false">IF(L1033="","",N1033-L1033*O1033)</f>
        <v/>
      </c>
      <c r="T1033" s="22" t="str">
        <f aca="false">IF(R1033="","",IF(R1033&lt;=Q1033,"Yes","No"))</f>
        <v/>
      </c>
      <c r="U1033" s="22" t="str">
        <f aca="false">IF(B1033="","",TEXT(YEAR(B1033),"0"))</f>
        <v/>
      </c>
    </row>
    <row r="1034" customFormat="false" ht="15" hidden="false" customHeight="false" outlineLevel="0" collapsed="false">
      <c r="B1034" s="28"/>
      <c r="C1034" s="24" t="str">
        <f aca="false">IF(B1034="","",DATE(YEAR(B1034),MONTH(B1034),1))</f>
        <v/>
      </c>
      <c r="N1034" s="26" t="str">
        <f aca="false">IF(L1034="","",L1034*M1034)</f>
        <v/>
      </c>
      <c r="P1034" s="26" t="str">
        <f aca="false">IF(L1034="","",N1034-L1034*O1034)</f>
        <v/>
      </c>
      <c r="T1034" s="22" t="str">
        <f aca="false">IF(R1034="","",IF(R1034&lt;=Q1034,"Yes","No"))</f>
        <v/>
      </c>
      <c r="U1034" s="22" t="str">
        <f aca="false">IF(B1034="","",TEXT(YEAR(B1034),"0"))</f>
        <v/>
      </c>
    </row>
    <row r="1035" customFormat="false" ht="15" hidden="false" customHeight="false" outlineLevel="0" collapsed="false">
      <c r="B1035" s="28"/>
      <c r="C1035" s="24" t="str">
        <f aca="false">IF(B1035="","",DATE(YEAR(B1035),MONTH(B1035),1))</f>
        <v/>
      </c>
      <c r="N1035" s="26" t="str">
        <f aca="false">IF(L1035="","",L1035*M1035)</f>
        <v/>
      </c>
      <c r="P1035" s="26" t="str">
        <f aca="false">IF(L1035="","",N1035-L1035*O1035)</f>
        <v/>
      </c>
      <c r="T1035" s="22" t="str">
        <f aca="false">IF(R1035="","",IF(R1035&lt;=Q1035,"Yes","No"))</f>
        <v/>
      </c>
      <c r="U1035" s="22" t="str">
        <f aca="false">IF(B1035="","",TEXT(YEAR(B1035),"0"))</f>
        <v/>
      </c>
    </row>
    <row r="1036" customFormat="false" ht="15" hidden="false" customHeight="false" outlineLevel="0" collapsed="false">
      <c r="B1036" s="28"/>
      <c r="C1036" s="24" t="str">
        <f aca="false">IF(B1036="","",DATE(YEAR(B1036),MONTH(B1036),1))</f>
        <v/>
      </c>
      <c r="N1036" s="26" t="str">
        <f aca="false">IF(L1036="","",L1036*M1036)</f>
        <v/>
      </c>
      <c r="P1036" s="26" t="str">
        <f aca="false">IF(L1036="","",N1036-L1036*O1036)</f>
        <v/>
      </c>
      <c r="T1036" s="22" t="str">
        <f aca="false">IF(R1036="","",IF(R1036&lt;=Q1036,"Yes","No"))</f>
        <v/>
      </c>
      <c r="U1036" s="22" t="str">
        <f aca="false">IF(B1036="","",TEXT(YEAR(B1036),"0"))</f>
        <v/>
      </c>
    </row>
    <row r="1037" customFormat="false" ht="15" hidden="false" customHeight="false" outlineLevel="0" collapsed="false">
      <c r="B1037" s="28"/>
      <c r="C1037" s="24" t="str">
        <f aca="false">IF(B1037="","",DATE(YEAR(B1037),MONTH(B1037),1))</f>
        <v/>
      </c>
      <c r="N1037" s="26" t="str">
        <f aca="false">IF(L1037="","",L1037*M1037)</f>
        <v/>
      </c>
      <c r="P1037" s="26" t="str">
        <f aca="false">IF(L1037="","",N1037-L1037*O1037)</f>
        <v/>
      </c>
      <c r="T1037" s="22" t="str">
        <f aca="false">IF(R1037="","",IF(R1037&lt;=Q1037,"Yes","No"))</f>
        <v/>
      </c>
      <c r="U1037" s="22" t="str">
        <f aca="false">IF(B1037="","",TEXT(YEAR(B1037),"0"))</f>
        <v/>
      </c>
    </row>
    <row r="1038" customFormat="false" ht="15" hidden="false" customHeight="false" outlineLevel="0" collapsed="false">
      <c r="B1038" s="28"/>
      <c r="C1038" s="24" t="str">
        <f aca="false">IF(B1038="","",DATE(YEAR(B1038),MONTH(B1038),1))</f>
        <v/>
      </c>
      <c r="N1038" s="26" t="str">
        <f aca="false">IF(L1038="","",L1038*M1038)</f>
        <v/>
      </c>
      <c r="P1038" s="26" t="str">
        <f aca="false">IF(L1038="","",N1038-L1038*O1038)</f>
        <v/>
      </c>
      <c r="T1038" s="22" t="str">
        <f aca="false">IF(R1038="","",IF(R1038&lt;=Q1038,"Yes","No"))</f>
        <v/>
      </c>
      <c r="U1038" s="22" t="str">
        <f aca="false">IF(B1038="","",TEXT(YEAR(B1038),"0"))</f>
        <v/>
      </c>
    </row>
    <row r="1039" customFormat="false" ht="15" hidden="false" customHeight="false" outlineLevel="0" collapsed="false">
      <c r="B1039" s="28"/>
      <c r="C1039" s="24" t="str">
        <f aca="false">IF(B1039="","",DATE(YEAR(B1039),MONTH(B1039),1))</f>
        <v/>
      </c>
      <c r="N1039" s="26" t="str">
        <f aca="false">IF(L1039="","",L1039*M1039)</f>
        <v/>
      </c>
      <c r="P1039" s="26" t="str">
        <f aca="false">IF(L1039="","",N1039-L1039*O1039)</f>
        <v/>
      </c>
      <c r="T1039" s="22" t="str">
        <f aca="false">IF(R1039="","",IF(R1039&lt;=Q1039,"Yes","No"))</f>
        <v/>
      </c>
      <c r="U1039" s="22" t="str">
        <f aca="false">IF(B1039="","",TEXT(YEAR(B1039),"0"))</f>
        <v/>
      </c>
    </row>
    <row r="1040" customFormat="false" ht="15" hidden="false" customHeight="false" outlineLevel="0" collapsed="false">
      <c r="B1040" s="28"/>
      <c r="C1040" s="24" t="str">
        <f aca="false">IF(B1040="","",DATE(YEAR(B1040),MONTH(B1040),1))</f>
        <v/>
      </c>
      <c r="N1040" s="26" t="str">
        <f aca="false">IF(L1040="","",L1040*M1040)</f>
        <v/>
      </c>
      <c r="P1040" s="26" t="str">
        <f aca="false">IF(L1040="","",N1040-L1040*O1040)</f>
        <v/>
      </c>
      <c r="T1040" s="22" t="str">
        <f aca="false">IF(R1040="","",IF(R1040&lt;=Q1040,"Yes","No"))</f>
        <v/>
      </c>
      <c r="U1040" s="22" t="str">
        <f aca="false">IF(B1040="","",TEXT(YEAR(B1040),"0"))</f>
        <v/>
      </c>
    </row>
    <row r="1041" customFormat="false" ht="15" hidden="false" customHeight="false" outlineLevel="0" collapsed="false">
      <c r="B1041" s="28"/>
      <c r="C1041" s="24" t="str">
        <f aca="false">IF(B1041="","",DATE(YEAR(B1041),MONTH(B1041),1))</f>
        <v/>
      </c>
      <c r="N1041" s="26" t="str">
        <f aca="false">IF(L1041="","",L1041*M1041)</f>
        <v/>
      </c>
      <c r="P1041" s="26" t="str">
        <f aca="false">IF(L1041="","",N1041-L1041*O1041)</f>
        <v/>
      </c>
      <c r="T1041" s="22" t="str">
        <f aca="false">IF(R1041="","",IF(R1041&lt;=Q1041,"Yes","No"))</f>
        <v/>
      </c>
      <c r="U1041" s="22" t="str">
        <f aca="false">IF(B1041="","",TEXT(YEAR(B1041),"0"))</f>
        <v/>
      </c>
    </row>
    <row r="1042" customFormat="false" ht="15" hidden="false" customHeight="false" outlineLevel="0" collapsed="false">
      <c r="B1042" s="28"/>
      <c r="C1042" s="24" t="str">
        <f aca="false">IF(B1042="","",DATE(YEAR(B1042),MONTH(B1042),1))</f>
        <v/>
      </c>
      <c r="N1042" s="26" t="str">
        <f aca="false">IF(L1042="","",L1042*M1042)</f>
        <v/>
      </c>
      <c r="P1042" s="26" t="str">
        <f aca="false">IF(L1042="","",N1042-L1042*O1042)</f>
        <v/>
      </c>
      <c r="T1042" s="22" t="str">
        <f aca="false">IF(R1042="","",IF(R1042&lt;=Q1042,"Yes","No"))</f>
        <v/>
      </c>
      <c r="U1042" s="22" t="str">
        <f aca="false">IF(B1042="","",TEXT(YEAR(B1042),"0"))</f>
        <v/>
      </c>
    </row>
    <row r="1043" customFormat="false" ht="15" hidden="false" customHeight="false" outlineLevel="0" collapsed="false">
      <c r="B1043" s="28"/>
      <c r="C1043" s="24" t="str">
        <f aca="false">IF(B1043="","",DATE(YEAR(B1043),MONTH(B1043),1))</f>
        <v/>
      </c>
      <c r="N1043" s="26" t="str">
        <f aca="false">IF(L1043="","",L1043*M1043)</f>
        <v/>
      </c>
      <c r="P1043" s="26" t="str">
        <f aca="false">IF(L1043="","",N1043-L1043*O1043)</f>
        <v/>
      </c>
      <c r="T1043" s="22" t="str">
        <f aca="false">IF(R1043="","",IF(R1043&lt;=Q1043,"Yes","No"))</f>
        <v/>
      </c>
      <c r="U1043" s="22" t="str">
        <f aca="false">IF(B1043="","",TEXT(YEAR(B1043),"0"))</f>
        <v/>
      </c>
    </row>
    <row r="1044" customFormat="false" ht="15" hidden="false" customHeight="false" outlineLevel="0" collapsed="false">
      <c r="B1044" s="28"/>
      <c r="C1044" s="24" t="str">
        <f aca="false">IF(B1044="","",DATE(YEAR(B1044),MONTH(B1044),1))</f>
        <v/>
      </c>
      <c r="N1044" s="26" t="str">
        <f aca="false">IF(L1044="","",L1044*M1044)</f>
        <v/>
      </c>
      <c r="P1044" s="26" t="str">
        <f aca="false">IF(L1044="","",N1044-L1044*O1044)</f>
        <v/>
      </c>
      <c r="T1044" s="22" t="str">
        <f aca="false">IF(R1044="","",IF(R1044&lt;=Q1044,"Yes","No"))</f>
        <v/>
      </c>
      <c r="U1044" s="22" t="str">
        <f aca="false">IF(B1044="","",TEXT(YEAR(B1044),"0"))</f>
        <v/>
      </c>
    </row>
    <row r="1045" customFormat="false" ht="15" hidden="false" customHeight="false" outlineLevel="0" collapsed="false">
      <c r="B1045" s="28"/>
      <c r="C1045" s="24" t="str">
        <f aca="false">IF(B1045="","",DATE(YEAR(B1045),MONTH(B1045),1))</f>
        <v/>
      </c>
      <c r="N1045" s="26" t="str">
        <f aca="false">IF(L1045="","",L1045*M1045)</f>
        <v/>
      </c>
      <c r="P1045" s="26" t="str">
        <f aca="false">IF(L1045="","",N1045-L1045*O1045)</f>
        <v/>
      </c>
      <c r="T1045" s="22" t="str">
        <f aca="false">IF(R1045="","",IF(R1045&lt;=Q1045,"Yes","No"))</f>
        <v/>
      </c>
      <c r="U1045" s="22" t="str">
        <f aca="false">IF(B1045="","",TEXT(YEAR(B1045),"0"))</f>
        <v/>
      </c>
    </row>
    <row r="1046" customFormat="false" ht="15" hidden="false" customHeight="false" outlineLevel="0" collapsed="false">
      <c r="B1046" s="28"/>
      <c r="C1046" s="24" t="str">
        <f aca="false">IF(B1046="","",DATE(YEAR(B1046),MONTH(B1046),1))</f>
        <v/>
      </c>
      <c r="N1046" s="26" t="str">
        <f aca="false">IF(L1046="","",L1046*M1046)</f>
        <v/>
      </c>
      <c r="P1046" s="26" t="str">
        <f aca="false">IF(L1046="","",N1046-L1046*O1046)</f>
        <v/>
      </c>
      <c r="T1046" s="22" t="str">
        <f aca="false">IF(R1046="","",IF(R1046&lt;=Q1046,"Yes","No"))</f>
        <v/>
      </c>
      <c r="U1046" s="22" t="str">
        <f aca="false">IF(B1046="","",TEXT(YEAR(B1046),"0"))</f>
        <v/>
      </c>
    </row>
    <row r="1047" customFormat="false" ht="15" hidden="false" customHeight="false" outlineLevel="0" collapsed="false">
      <c r="B1047" s="28"/>
      <c r="C1047" s="24" t="str">
        <f aca="false">IF(B1047="","",DATE(YEAR(B1047),MONTH(B1047),1))</f>
        <v/>
      </c>
      <c r="N1047" s="26" t="str">
        <f aca="false">IF(L1047="","",L1047*M1047)</f>
        <v/>
      </c>
      <c r="P1047" s="26" t="str">
        <f aca="false">IF(L1047="","",N1047-L1047*O1047)</f>
        <v/>
      </c>
      <c r="T1047" s="22" t="str">
        <f aca="false">IF(R1047="","",IF(R1047&lt;=Q1047,"Yes","No"))</f>
        <v/>
      </c>
      <c r="U1047" s="22" t="str">
        <f aca="false">IF(B1047="","",TEXT(YEAR(B1047),"0"))</f>
        <v/>
      </c>
    </row>
    <row r="1048" customFormat="false" ht="15" hidden="false" customHeight="false" outlineLevel="0" collapsed="false">
      <c r="B1048" s="28"/>
      <c r="C1048" s="24" t="str">
        <f aca="false">IF(B1048="","",DATE(YEAR(B1048),MONTH(B1048),1))</f>
        <v/>
      </c>
      <c r="N1048" s="26" t="str">
        <f aca="false">IF(L1048="","",L1048*M1048)</f>
        <v/>
      </c>
      <c r="P1048" s="26" t="str">
        <f aca="false">IF(L1048="","",N1048-L1048*O1048)</f>
        <v/>
      </c>
      <c r="T1048" s="22" t="str">
        <f aca="false">IF(R1048="","",IF(R1048&lt;=Q1048,"Yes","No"))</f>
        <v/>
      </c>
      <c r="U1048" s="22" t="str">
        <f aca="false">IF(B1048="","",TEXT(YEAR(B1048),"0"))</f>
        <v/>
      </c>
    </row>
    <row r="1049" customFormat="false" ht="15" hidden="false" customHeight="false" outlineLevel="0" collapsed="false">
      <c r="B1049" s="28"/>
      <c r="C1049" s="24" t="str">
        <f aca="false">IF(B1049="","",DATE(YEAR(B1049),MONTH(B1049),1))</f>
        <v/>
      </c>
      <c r="N1049" s="26" t="str">
        <f aca="false">IF(L1049="","",L1049*M1049)</f>
        <v/>
      </c>
      <c r="P1049" s="26" t="str">
        <f aca="false">IF(L1049="","",N1049-L1049*O1049)</f>
        <v/>
      </c>
      <c r="T1049" s="22" t="str">
        <f aca="false">IF(R1049="","",IF(R1049&lt;=Q1049,"Yes","No"))</f>
        <v/>
      </c>
      <c r="U1049" s="22" t="str">
        <f aca="false">IF(B1049="","",TEXT(YEAR(B1049),"0"))</f>
        <v/>
      </c>
    </row>
    <row r="1050" customFormat="false" ht="15" hidden="false" customHeight="false" outlineLevel="0" collapsed="false">
      <c r="B1050" s="28"/>
      <c r="C1050" s="24" t="str">
        <f aca="false">IF(B1050="","",DATE(YEAR(B1050),MONTH(B1050),1))</f>
        <v/>
      </c>
      <c r="N1050" s="26" t="str">
        <f aca="false">IF(L1050="","",L1050*M1050)</f>
        <v/>
      </c>
      <c r="P1050" s="26" t="str">
        <f aca="false">IF(L1050="","",N1050-L1050*O1050)</f>
        <v/>
      </c>
      <c r="T1050" s="22" t="str">
        <f aca="false">IF(R1050="","",IF(R1050&lt;=Q1050,"Yes","No"))</f>
        <v/>
      </c>
      <c r="U1050" s="22" t="str">
        <f aca="false">IF(B1050="","",TEXT(YEAR(B1050),"0"))</f>
        <v/>
      </c>
    </row>
    <row r="1051" customFormat="false" ht="15" hidden="false" customHeight="false" outlineLevel="0" collapsed="false">
      <c r="B1051" s="28"/>
      <c r="C1051" s="24" t="str">
        <f aca="false">IF(B1051="","",DATE(YEAR(B1051),MONTH(B1051),1))</f>
        <v/>
      </c>
      <c r="N1051" s="26" t="str">
        <f aca="false">IF(L1051="","",L1051*M1051)</f>
        <v/>
      </c>
      <c r="P1051" s="26" t="str">
        <f aca="false">IF(L1051="","",N1051-L1051*O1051)</f>
        <v/>
      </c>
      <c r="T1051" s="22" t="str">
        <f aca="false">IF(R1051="","",IF(R1051&lt;=Q1051,"Yes","No"))</f>
        <v/>
      </c>
      <c r="U1051" s="22" t="str">
        <f aca="false">IF(B1051="","",TEXT(YEAR(B1051),"0"))</f>
        <v/>
      </c>
    </row>
    <row r="1052" customFormat="false" ht="15" hidden="false" customHeight="false" outlineLevel="0" collapsed="false">
      <c r="B1052" s="28"/>
      <c r="C1052" s="24" t="str">
        <f aca="false">IF(B1052="","",DATE(YEAR(B1052),MONTH(B1052),1))</f>
        <v/>
      </c>
      <c r="N1052" s="26" t="str">
        <f aca="false">IF(L1052="","",L1052*M1052)</f>
        <v/>
      </c>
      <c r="P1052" s="26" t="str">
        <f aca="false">IF(L1052="","",N1052-L1052*O1052)</f>
        <v/>
      </c>
      <c r="T1052" s="22" t="str">
        <f aca="false">IF(R1052="","",IF(R1052&lt;=Q1052,"Yes","No"))</f>
        <v/>
      </c>
      <c r="U1052" s="22" t="str">
        <f aca="false">IF(B1052="","",TEXT(YEAR(B1052),"0"))</f>
        <v/>
      </c>
    </row>
    <row r="1053" customFormat="false" ht="15" hidden="false" customHeight="false" outlineLevel="0" collapsed="false">
      <c r="B1053" s="28"/>
      <c r="C1053" s="24" t="str">
        <f aca="false">IF(B1053="","",DATE(YEAR(B1053),MONTH(B1053),1))</f>
        <v/>
      </c>
      <c r="N1053" s="26" t="str">
        <f aca="false">IF(L1053="","",L1053*M1053)</f>
        <v/>
      </c>
      <c r="P1053" s="26" t="str">
        <f aca="false">IF(L1053="","",N1053-L1053*O1053)</f>
        <v/>
      </c>
      <c r="T1053" s="22" t="str">
        <f aca="false">IF(R1053="","",IF(R1053&lt;=Q1053,"Yes","No"))</f>
        <v/>
      </c>
      <c r="U1053" s="22" t="str">
        <f aca="false">IF(B1053="","",TEXT(YEAR(B1053),"0"))</f>
        <v/>
      </c>
    </row>
    <row r="1054" customFormat="false" ht="15" hidden="false" customHeight="false" outlineLevel="0" collapsed="false">
      <c r="B1054" s="28"/>
      <c r="C1054" s="24" t="str">
        <f aca="false">IF(B1054="","",DATE(YEAR(B1054),MONTH(B1054),1))</f>
        <v/>
      </c>
      <c r="N1054" s="26" t="str">
        <f aca="false">IF(L1054="","",L1054*M1054)</f>
        <v/>
      </c>
      <c r="P1054" s="26" t="str">
        <f aca="false">IF(L1054="","",N1054-L1054*O1054)</f>
        <v/>
      </c>
      <c r="T1054" s="22" t="str">
        <f aca="false">IF(R1054="","",IF(R1054&lt;=Q1054,"Yes","No"))</f>
        <v/>
      </c>
      <c r="U1054" s="22" t="str">
        <f aca="false">IF(B1054="","",TEXT(YEAR(B1054),"0"))</f>
        <v/>
      </c>
    </row>
    <row r="1055" customFormat="false" ht="15" hidden="false" customHeight="false" outlineLevel="0" collapsed="false">
      <c r="B1055" s="28"/>
      <c r="C1055" s="24" t="str">
        <f aca="false">IF(B1055="","",DATE(YEAR(B1055),MONTH(B1055),1))</f>
        <v/>
      </c>
      <c r="N1055" s="26" t="str">
        <f aca="false">IF(L1055="","",L1055*M1055)</f>
        <v/>
      </c>
      <c r="P1055" s="26" t="str">
        <f aca="false">IF(L1055="","",N1055-L1055*O1055)</f>
        <v/>
      </c>
      <c r="T1055" s="22" t="str">
        <f aca="false">IF(R1055="","",IF(R1055&lt;=Q1055,"Yes","No"))</f>
        <v/>
      </c>
      <c r="U1055" s="22" t="str">
        <f aca="false">IF(B1055="","",TEXT(YEAR(B1055),"0"))</f>
        <v/>
      </c>
    </row>
    <row r="1056" customFormat="false" ht="15" hidden="false" customHeight="false" outlineLevel="0" collapsed="false">
      <c r="B1056" s="28"/>
      <c r="C1056" s="24" t="str">
        <f aca="false">IF(B1056="","",DATE(YEAR(B1056),MONTH(B1056),1))</f>
        <v/>
      </c>
      <c r="N1056" s="26" t="str">
        <f aca="false">IF(L1056="","",L1056*M1056)</f>
        <v/>
      </c>
      <c r="P1056" s="26" t="str">
        <f aca="false">IF(L1056="","",N1056-L1056*O1056)</f>
        <v/>
      </c>
      <c r="T1056" s="22" t="str">
        <f aca="false">IF(R1056="","",IF(R1056&lt;=Q1056,"Yes","No"))</f>
        <v/>
      </c>
      <c r="U1056" s="22" t="str">
        <f aca="false">IF(B1056="","",TEXT(YEAR(B1056),"0"))</f>
        <v/>
      </c>
    </row>
    <row r="1057" customFormat="false" ht="15" hidden="false" customHeight="false" outlineLevel="0" collapsed="false">
      <c r="B1057" s="28"/>
      <c r="C1057" s="24" t="str">
        <f aca="false">IF(B1057="","",DATE(YEAR(B1057),MONTH(B1057),1))</f>
        <v/>
      </c>
      <c r="N1057" s="26" t="str">
        <f aca="false">IF(L1057="","",L1057*M1057)</f>
        <v/>
      </c>
      <c r="P1057" s="26" t="str">
        <f aca="false">IF(L1057="","",N1057-L1057*O1057)</f>
        <v/>
      </c>
      <c r="T1057" s="22" t="str">
        <f aca="false">IF(R1057="","",IF(R1057&lt;=Q1057,"Yes","No"))</f>
        <v/>
      </c>
      <c r="U1057" s="22" t="str">
        <f aca="false">IF(B1057="","",TEXT(YEAR(B1057),"0"))</f>
        <v/>
      </c>
    </row>
    <row r="1058" customFormat="false" ht="15" hidden="false" customHeight="false" outlineLevel="0" collapsed="false">
      <c r="B1058" s="28"/>
      <c r="C1058" s="24" t="str">
        <f aca="false">IF(B1058="","",DATE(YEAR(B1058),MONTH(B1058),1))</f>
        <v/>
      </c>
      <c r="N1058" s="26" t="str">
        <f aca="false">IF(L1058="","",L1058*M1058)</f>
        <v/>
      </c>
      <c r="P1058" s="26" t="str">
        <f aca="false">IF(L1058="","",N1058-L1058*O1058)</f>
        <v/>
      </c>
      <c r="T1058" s="22" t="str">
        <f aca="false">IF(R1058="","",IF(R1058&lt;=Q1058,"Yes","No"))</f>
        <v/>
      </c>
      <c r="U1058" s="22" t="str">
        <f aca="false">IF(B1058="","",TEXT(YEAR(B1058),"0"))</f>
        <v/>
      </c>
    </row>
    <row r="1059" customFormat="false" ht="15" hidden="false" customHeight="false" outlineLevel="0" collapsed="false">
      <c r="B1059" s="28"/>
      <c r="C1059" s="24" t="str">
        <f aca="false">IF(B1059="","",DATE(YEAR(B1059),MONTH(B1059),1))</f>
        <v/>
      </c>
      <c r="N1059" s="26" t="str">
        <f aca="false">IF(L1059="","",L1059*M1059)</f>
        <v/>
      </c>
      <c r="P1059" s="26" t="str">
        <f aca="false">IF(L1059="","",N1059-L1059*O1059)</f>
        <v/>
      </c>
      <c r="T1059" s="22" t="str">
        <f aca="false">IF(R1059="","",IF(R1059&lt;=Q1059,"Yes","No"))</f>
        <v/>
      </c>
      <c r="U1059" s="22" t="str">
        <f aca="false">IF(B1059="","",TEXT(YEAR(B1059),"0"))</f>
        <v/>
      </c>
    </row>
    <row r="1060" customFormat="false" ht="15" hidden="false" customHeight="false" outlineLevel="0" collapsed="false">
      <c r="B1060" s="28"/>
      <c r="C1060" s="24" t="str">
        <f aca="false">IF(B1060="","",DATE(YEAR(B1060),MONTH(B1060),1))</f>
        <v/>
      </c>
      <c r="N1060" s="26" t="str">
        <f aca="false">IF(L1060="","",L1060*M1060)</f>
        <v/>
      </c>
      <c r="P1060" s="26" t="str">
        <f aca="false">IF(L1060="","",N1060-L1060*O1060)</f>
        <v/>
      </c>
      <c r="T1060" s="22" t="str">
        <f aca="false">IF(R1060="","",IF(R1060&lt;=Q1060,"Yes","No"))</f>
        <v/>
      </c>
      <c r="U1060" s="22" t="str">
        <f aca="false">IF(B1060="","",TEXT(YEAR(B1060),"0"))</f>
        <v/>
      </c>
    </row>
    <row r="1061" customFormat="false" ht="15" hidden="false" customHeight="false" outlineLevel="0" collapsed="false">
      <c r="B1061" s="28"/>
      <c r="C1061" s="24" t="str">
        <f aca="false">IF(B1061="","",DATE(YEAR(B1061),MONTH(B1061),1))</f>
        <v/>
      </c>
      <c r="N1061" s="26" t="str">
        <f aca="false">IF(L1061="","",L1061*M1061)</f>
        <v/>
      </c>
      <c r="P1061" s="26" t="str">
        <f aca="false">IF(L1061="","",N1061-L1061*O1061)</f>
        <v/>
      </c>
      <c r="T1061" s="22" t="str">
        <f aca="false">IF(R1061="","",IF(R1061&lt;=Q1061,"Yes","No"))</f>
        <v/>
      </c>
      <c r="U1061" s="22" t="str">
        <f aca="false">IF(B1061="","",TEXT(YEAR(B1061),"0"))</f>
        <v/>
      </c>
    </row>
    <row r="1062" customFormat="false" ht="15" hidden="false" customHeight="false" outlineLevel="0" collapsed="false">
      <c r="B1062" s="28"/>
      <c r="C1062" s="24" t="str">
        <f aca="false">IF(B1062="","",DATE(YEAR(B1062),MONTH(B1062),1))</f>
        <v/>
      </c>
      <c r="N1062" s="26" t="str">
        <f aca="false">IF(L1062="","",L1062*M1062)</f>
        <v/>
      </c>
      <c r="P1062" s="26" t="str">
        <f aca="false">IF(L1062="","",N1062-L1062*O1062)</f>
        <v/>
      </c>
      <c r="T1062" s="22" t="str">
        <f aca="false">IF(R1062="","",IF(R1062&lt;=Q1062,"Yes","No"))</f>
        <v/>
      </c>
      <c r="U1062" s="22" t="str">
        <f aca="false">IF(B1062="","",TEXT(YEAR(B1062),"0"))</f>
        <v/>
      </c>
    </row>
    <row r="1063" customFormat="false" ht="15" hidden="false" customHeight="false" outlineLevel="0" collapsed="false">
      <c r="B1063" s="28"/>
      <c r="C1063" s="24" t="str">
        <f aca="false">IF(B1063="","",DATE(YEAR(B1063),MONTH(B1063),1))</f>
        <v/>
      </c>
      <c r="N1063" s="26" t="str">
        <f aca="false">IF(L1063="","",L1063*M1063)</f>
        <v/>
      </c>
      <c r="P1063" s="26" t="str">
        <f aca="false">IF(L1063="","",N1063-L1063*O1063)</f>
        <v/>
      </c>
      <c r="T1063" s="22" t="str">
        <f aca="false">IF(R1063="","",IF(R1063&lt;=Q1063,"Yes","No"))</f>
        <v/>
      </c>
      <c r="U1063" s="22" t="str">
        <f aca="false">IF(B1063="","",TEXT(YEAR(B1063),"0"))</f>
        <v/>
      </c>
    </row>
    <row r="1064" customFormat="false" ht="15" hidden="false" customHeight="false" outlineLevel="0" collapsed="false">
      <c r="B1064" s="28"/>
      <c r="C1064" s="24" t="str">
        <f aca="false">IF(B1064="","",DATE(YEAR(B1064),MONTH(B1064),1))</f>
        <v/>
      </c>
      <c r="N1064" s="26" t="str">
        <f aca="false">IF(L1064="","",L1064*M1064)</f>
        <v/>
      </c>
      <c r="P1064" s="26" t="str">
        <f aca="false">IF(L1064="","",N1064-L1064*O1064)</f>
        <v/>
      </c>
      <c r="T1064" s="22" t="str">
        <f aca="false">IF(R1064="","",IF(R1064&lt;=Q1064,"Yes","No"))</f>
        <v/>
      </c>
      <c r="U1064" s="22" t="str">
        <f aca="false">IF(B1064="","",TEXT(YEAR(B1064),"0"))</f>
        <v/>
      </c>
    </row>
    <row r="1065" customFormat="false" ht="15" hidden="false" customHeight="false" outlineLevel="0" collapsed="false">
      <c r="B1065" s="28"/>
      <c r="C1065" s="24" t="str">
        <f aca="false">IF(B1065="","",DATE(YEAR(B1065),MONTH(B1065),1))</f>
        <v/>
      </c>
      <c r="N1065" s="26" t="str">
        <f aca="false">IF(L1065="","",L1065*M1065)</f>
        <v/>
      </c>
      <c r="P1065" s="26" t="str">
        <f aca="false">IF(L1065="","",N1065-L1065*O1065)</f>
        <v/>
      </c>
      <c r="T1065" s="22" t="str">
        <f aca="false">IF(R1065="","",IF(R1065&lt;=Q1065,"Yes","No"))</f>
        <v/>
      </c>
      <c r="U1065" s="22" t="str">
        <f aca="false">IF(B1065="","",TEXT(YEAR(B1065),"0"))</f>
        <v/>
      </c>
    </row>
    <row r="1066" customFormat="false" ht="15" hidden="false" customHeight="false" outlineLevel="0" collapsed="false">
      <c r="B1066" s="28"/>
      <c r="C1066" s="24" t="str">
        <f aca="false">IF(B1066="","",DATE(YEAR(B1066),MONTH(B1066),1))</f>
        <v/>
      </c>
      <c r="N1066" s="26" t="str">
        <f aca="false">IF(L1066="","",L1066*M1066)</f>
        <v/>
      </c>
      <c r="P1066" s="26" t="str">
        <f aca="false">IF(L1066="","",N1066-L1066*O1066)</f>
        <v/>
      </c>
      <c r="T1066" s="22" t="str">
        <f aca="false">IF(R1066="","",IF(R1066&lt;=Q1066,"Yes","No"))</f>
        <v/>
      </c>
      <c r="U1066" s="22" t="str">
        <f aca="false">IF(B1066="","",TEXT(YEAR(B1066),"0"))</f>
        <v/>
      </c>
    </row>
    <row r="1067" customFormat="false" ht="15" hidden="false" customHeight="false" outlineLevel="0" collapsed="false">
      <c r="B1067" s="28"/>
      <c r="C1067" s="24" t="str">
        <f aca="false">IF(B1067="","",DATE(YEAR(B1067),MONTH(B1067),1))</f>
        <v/>
      </c>
      <c r="N1067" s="26" t="str">
        <f aca="false">IF(L1067="","",L1067*M1067)</f>
        <v/>
      </c>
      <c r="P1067" s="26" t="str">
        <f aca="false">IF(L1067="","",N1067-L1067*O1067)</f>
        <v/>
      </c>
      <c r="T1067" s="22" t="str">
        <f aca="false">IF(R1067="","",IF(R1067&lt;=Q1067,"Yes","No"))</f>
        <v/>
      </c>
      <c r="U1067" s="22" t="str">
        <f aca="false">IF(B1067="","",TEXT(YEAR(B1067),"0"))</f>
        <v/>
      </c>
    </row>
    <row r="1068" customFormat="false" ht="15" hidden="false" customHeight="false" outlineLevel="0" collapsed="false">
      <c r="B1068" s="28"/>
      <c r="C1068" s="24" t="str">
        <f aca="false">IF(B1068="","",DATE(YEAR(B1068),MONTH(B1068),1))</f>
        <v/>
      </c>
      <c r="N1068" s="26" t="str">
        <f aca="false">IF(L1068="","",L1068*M1068)</f>
        <v/>
      </c>
      <c r="P1068" s="26" t="str">
        <f aca="false">IF(L1068="","",N1068-L1068*O1068)</f>
        <v/>
      </c>
      <c r="T1068" s="22" t="str">
        <f aca="false">IF(R1068="","",IF(R1068&lt;=Q1068,"Yes","No"))</f>
        <v/>
      </c>
      <c r="U1068" s="22" t="str">
        <f aca="false">IF(B1068="","",TEXT(YEAR(B1068),"0"))</f>
        <v/>
      </c>
    </row>
    <row r="1069" customFormat="false" ht="15" hidden="false" customHeight="false" outlineLevel="0" collapsed="false">
      <c r="B1069" s="28"/>
      <c r="C1069" s="24" t="str">
        <f aca="false">IF(B1069="","",DATE(YEAR(B1069),MONTH(B1069),1))</f>
        <v/>
      </c>
      <c r="N1069" s="26" t="str">
        <f aca="false">IF(L1069="","",L1069*M1069)</f>
        <v/>
      </c>
      <c r="P1069" s="26" t="str">
        <f aca="false">IF(L1069="","",N1069-L1069*O1069)</f>
        <v/>
      </c>
      <c r="T1069" s="22" t="str">
        <f aca="false">IF(R1069="","",IF(R1069&lt;=Q1069,"Yes","No"))</f>
        <v/>
      </c>
      <c r="U1069" s="22" t="str">
        <f aca="false">IF(B1069="","",TEXT(YEAR(B1069),"0"))</f>
        <v/>
      </c>
    </row>
    <row r="1070" customFormat="false" ht="15" hidden="false" customHeight="false" outlineLevel="0" collapsed="false">
      <c r="B1070" s="28"/>
      <c r="C1070" s="24" t="str">
        <f aca="false">IF(B1070="","",DATE(YEAR(B1070),MONTH(B1070),1))</f>
        <v/>
      </c>
      <c r="N1070" s="26" t="str">
        <f aca="false">IF(L1070="","",L1070*M1070)</f>
        <v/>
      </c>
      <c r="P1070" s="26" t="str">
        <f aca="false">IF(L1070="","",N1070-L1070*O1070)</f>
        <v/>
      </c>
      <c r="T1070" s="22" t="str">
        <f aca="false">IF(R1070="","",IF(R1070&lt;=Q1070,"Yes","No"))</f>
        <v/>
      </c>
      <c r="U1070" s="22" t="str">
        <f aca="false">IF(B1070="","",TEXT(YEAR(B1070),"0"))</f>
        <v/>
      </c>
    </row>
    <row r="1071" customFormat="false" ht="15" hidden="false" customHeight="false" outlineLevel="0" collapsed="false">
      <c r="B1071" s="28"/>
      <c r="C1071" s="24" t="str">
        <f aca="false">IF(B1071="","",DATE(YEAR(B1071),MONTH(B1071),1))</f>
        <v/>
      </c>
      <c r="N1071" s="26" t="str">
        <f aca="false">IF(L1071="","",L1071*M1071)</f>
        <v/>
      </c>
      <c r="P1071" s="26" t="str">
        <f aca="false">IF(L1071="","",N1071-L1071*O1071)</f>
        <v/>
      </c>
      <c r="T1071" s="22" t="str">
        <f aca="false">IF(R1071="","",IF(R1071&lt;=Q1071,"Yes","No"))</f>
        <v/>
      </c>
      <c r="U1071" s="22" t="str">
        <f aca="false">IF(B1071="","",TEXT(YEAR(B1071),"0"))</f>
        <v/>
      </c>
    </row>
    <row r="1072" customFormat="false" ht="15" hidden="false" customHeight="false" outlineLevel="0" collapsed="false">
      <c r="B1072" s="28"/>
      <c r="C1072" s="24" t="str">
        <f aca="false">IF(B1072="","",DATE(YEAR(B1072),MONTH(B1072),1))</f>
        <v/>
      </c>
      <c r="N1072" s="26" t="str">
        <f aca="false">IF(L1072="","",L1072*M1072)</f>
        <v/>
      </c>
      <c r="P1072" s="26" t="str">
        <f aca="false">IF(L1072="","",N1072-L1072*O1072)</f>
        <v/>
      </c>
      <c r="T1072" s="22" t="str">
        <f aca="false">IF(R1072="","",IF(R1072&lt;=Q1072,"Yes","No"))</f>
        <v/>
      </c>
      <c r="U1072" s="22" t="str">
        <f aca="false">IF(B1072="","",TEXT(YEAR(B1072),"0"))</f>
        <v/>
      </c>
    </row>
    <row r="1073" customFormat="false" ht="15" hidden="false" customHeight="false" outlineLevel="0" collapsed="false">
      <c r="B1073" s="28"/>
      <c r="C1073" s="24" t="str">
        <f aca="false">IF(B1073="","",DATE(YEAR(B1073),MONTH(B1073),1))</f>
        <v/>
      </c>
      <c r="N1073" s="26" t="str">
        <f aca="false">IF(L1073="","",L1073*M1073)</f>
        <v/>
      </c>
      <c r="P1073" s="26" t="str">
        <f aca="false">IF(L1073="","",N1073-L1073*O1073)</f>
        <v/>
      </c>
      <c r="T1073" s="22" t="str">
        <f aca="false">IF(R1073="","",IF(R1073&lt;=Q1073,"Yes","No"))</f>
        <v/>
      </c>
      <c r="U1073" s="22" t="str">
        <f aca="false">IF(B1073="","",TEXT(YEAR(B1073),"0"))</f>
        <v/>
      </c>
    </row>
    <row r="1074" customFormat="false" ht="15" hidden="false" customHeight="false" outlineLevel="0" collapsed="false">
      <c r="B1074" s="28"/>
      <c r="C1074" s="24" t="str">
        <f aca="false">IF(B1074="","",DATE(YEAR(B1074),MONTH(B1074),1))</f>
        <v/>
      </c>
      <c r="N1074" s="26" t="str">
        <f aca="false">IF(L1074="","",L1074*M1074)</f>
        <v/>
      </c>
      <c r="P1074" s="26" t="str">
        <f aca="false">IF(L1074="","",N1074-L1074*O1074)</f>
        <v/>
      </c>
      <c r="T1074" s="22" t="str">
        <f aca="false">IF(R1074="","",IF(R1074&lt;=Q1074,"Yes","No"))</f>
        <v/>
      </c>
      <c r="U1074" s="22" t="str">
        <f aca="false">IF(B1074="","",TEXT(YEAR(B1074),"0"))</f>
        <v/>
      </c>
    </row>
    <row r="1075" customFormat="false" ht="15" hidden="false" customHeight="false" outlineLevel="0" collapsed="false">
      <c r="B1075" s="28"/>
      <c r="C1075" s="24" t="str">
        <f aca="false">IF(B1075="","",DATE(YEAR(B1075),MONTH(B1075),1))</f>
        <v/>
      </c>
      <c r="N1075" s="26" t="str">
        <f aca="false">IF(L1075="","",L1075*M1075)</f>
        <v/>
      </c>
      <c r="P1075" s="26" t="str">
        <f aca="false">IF(L1075="","",N1075-L1075*O1075)</f>
        <v/>
      </c>
      <c r="T1075" s="22" t="str">
        <f aca="false">IF(R1075="","",IF(R1075&lt;=Q1075,"Yes","No"))</f>
        <v/>
      </c>
      <c r="U1075" s="22" t="str">
        <f aca="false">IF(B1075="","",TEXT(YEAR(B1075),"0"))</f>
        <v/>
      </c>
    </row>
    <row r="1076" customFormat="false" ht="15" hidden="false" customHeight="false" outlineLevel="0" collapsed="false">
      <c r="B1076" s="28"/>
      <c r="C1076" s="24" t="str">
        <f aca="false">IF(B1076="","",DATE(YEAR(B1076),MONTH(B1076),1))</f>
        <v/>
      </c>
      <c r="N1076" s="26" t="str">
        <f aca="false">IF(L1076="","",L1076*M1076)</f>
        <v/>
      </c>
      <c r="P1076" s="26" t="str">
        <f aca="false">IF(L1076="","",N1076-L1076*O1076)</f>
        <v/>
      </c>
      <c r="T1076" s="22" t="str">
        <f aca="false">IF(R1076="","",IF(R1076&lt;=Q1076,"Yes","No"))</f>
        <v/>
      </c>
      <c r="U1076" s="22" t="str">
        <f aca="false">IF(B1076="","",TEXT(YEAR(B1076),"0"))</f>
        <v/>
      </c>
    </row>
    <row r="1077" customFormat="false" ht="15" hidden="false" customHeight="false" outlineLevel="0" collapsed="false">
      <c r="B1077" s="28"/>
      <c r="C1077" s="24" t="str">
        <f aca="false">IF(B1077="","",DATE(YEAR(B1077),MONTH(B1077),1))</f>
        <v/>
      </c>
      <c r="N1077" s="26" t="str">
        <f aca="false">IF(L1077="","",L1077*M1077)</f>
        <v/>
      </c>
      <c r="P1077" s="26" t="str">
        <f aca="false">IF(L1077="","",N1077-L1077*O1077)</f>
        <v/>
      </c>
      <c r="T1077" s="22" t="str">
        <f aca="false">IF(R1077="","",IF(R1077&lt;=Q1077,"Yes","No"))</f>
        <v/>
      </c>
      <c r="U1077" s="22" t="str">
        <f aca="false">IF(B1077="","",TEXT(YEAR(B1077),"0"))</f>
        <v/>
      </c>
    </row>
    <row r="1078" customFormat="false" ht="15" hidden="false" customHeight="false" outlineLevel="0" collapsed="false">
      <c r="B1078" s="28"/>
      <c r="C1078" s="24" t="str">
        <f aca="false">IF(B1078="","",DATE(YEAR(B1078),MONTH(B1078),1))</f>
        <v/>
      </c>
      <c r="N1078" s="26" t="str">
        <f aca="false">IF(L1078="","",L1078*M1078)</f>
        <v/>
      </c>
      <c r="P1078" s="26" t="str">
        <f aca="false">IF(L1078="","",N1078-L1078*O1078)</f>
        <v/>
      </c>
      <c r="T1078" s="22" t="str">
        <f aca="false">IF(R1078="","",IF(R1078&lt;=Q1078,"Yes","No"))</f>
        <v/>
      </c>
      <c r="U1078" s="22" t="str">
        <f aca="false">IF(B1078="","",TEXT(YEAR(B1078),"0"))</f>
        <v/>
      </c>
    </row>
    <row r="1079" customFormat="false" ht="15" hidden="false" customHeight="false" outlineLevel="0" collapsed="false">
      <c r="B1079" s="28"/>
      <c r="C1079" s="24" t="str">
        <f aca="false">IF(B1079="","",DATE(YEAR(B1079),MONTH(B1079),1))</f>
        <v/>
      </c>
      <c r="N1079" s="26" t="str">
        <f aca="false">IF(L1079="","",L1079*M1079)</f>
        <v/>
      </c>
      <c r="P1079" s="26" t="str">
        <f aca="false">IF(L1079="","",N1079-L1079*O1079)</f>
        <v/>
      </c>
      <c r="T1079" s="22" t="str">
        <f aca="false">IF(R1079="","",IF(R1079&lt;=Q1079,"Yes","No"))</f>
        <v/>
      </c>
      <c r="U1079" s="22" t="str">
        <f aca="false">IF(B1079="","",TEXT(YEAR(B1079),"0"))</f>
        <v/>
      </c>
    </row>
    <row r="1080" customFormat="false" ht="15" hidden="false" customHeight="false" outlineLevel="0" collapsed="false">
      <c r="B1080" s="28"/>
      <c r="C1080" s="24" t="str">
        <f aca="false">IF(B1080="","",DATE(YEAR(B1080),MONTH(B1080),1))</f>
        <v/>
      </c>
      <c r="N1080" s="26" t="str">
        <f aca="false">IF(L1080="","",L1080*M1080)</f>
        <v/>
      </c>
      <c r="P1080" s="26" t="str">
        <f aca="false">IF(L1080="","",N1080-L1080*O1080)</f>
        <v/>
      </c>
      <c r="T1080" s="22" t="str">
        <f aca="false">IF(R1080="","",IF(R1080&lt;=Q1080,"Yes","No"))</f>
        <v/>
      </c>
      <c r="U1080" s="22" t="str">
        <f aca="false">IF(B1080="","",TEXT(YEAR(B1080),"0"))</f>
        <v/>
      </c>
    </row>
    <row r="1081" customFormat="false" ht="15" hidden="false" customHeight="false" outlineLevel="0" collapsed="false">
      <c r="B1081" s="28"/>
      <c r="C1081" s="24" t="str">
        <f aca="false">IF(B1081="","",DATE(YEAR(B1081),MONTH(B1081),1))</f>
        <v/>
      </c>
      <c r="N1081" s="26" t="str">
        <f aca="false">IF(L1081="","",L1081*M1081)</f>
        <v/>
      </c>
      <c r="P1081" s="26" t="str">
        <f aca="false">IF(L1081="","",N1081-L1081*O1081)</f>
        <v/>
      </c>
      <c r="T1081" s="22" t="str">
        <f aca="false">IF(R1081="","",IF(R1081&lt;=Q1081,"Yes","No"))</f>
        <v/>
      </c>
      <c r="U1081" s="22" t="str">
        <f aca="false">IF(B1081="","",TEXT(YEAR(B1081),"0"))</f>
        <v/>
      </c>
    </row>
    <row r="1082" customFormat="false" ht="15" hidden="false" customHeight="false" outlineLevel="0" collapsed="false">
      <c r="B1082" s="28"/>
      <c r="C1082" s="24" t="str">
        <f aca="false">IF(B1082="","",DATE(YEAR(B1082),MONTH(B1082),1))</f>
        <v/>
      </c>
      <c r="N1082" s="26" t="str">
        <f aca="false">IF(L1082="","",L1082*M1082)</f>
        <v/>
      </c>
      <c r="P1082" s="26" t="str">
        <f aca="false">IF(L1082="","",N1082-L1082*O1082)</f>
        <v/>
      </c>
      <c r="T1082" s="22" t="str">
        <f aca="false">IF(R1082="","",IF(R1082&lt;=Q1082,"Yes","No"))</f>
        <v/>
      </c>
      <c r="U1082" s="22" t="str">
        <f aca="false">IF(B1082="","",TEXT(YEAR(B1082),"0"))</f>
        <v/>
      </c>
    </row>
    <row r="1083" customFormat="false" ht="15" hidden="false" customHeight="false" outlineLevel="0" collapsed="false">
      <c r="B1083" s="28"/>
      <c r="C1083" s="24" t="str">
        <f aca="false">IF(B1083="","",DATE(YEAR(B1083),MONTH(B1083),1))</f>
        <v/>
      </c>
      <c r="N1083" s="26" t="str">
        <f aca="false">IF(L1083="","",L1083*M1083)</f>
        <v/>
      </c>
      <c r="P1083" s="26" t="str">
        <f aca="false">IF(L1083="","",N1083-L1083*O1083)</f>
        <v/>
      </c>
      <c r="T1083" s="22" t="str">
        <f aca="false">IF(R1083="","",IF(R1083&lt;=Q1083,"Yes","No"))</f>
        <v/>
      </c>
      <c r="U1083" s="22" t="str">
        <f aca="false">IF(B1083="","",TEXT(YEAR(B1083),"0"))</f>
        <v/>
      </c>
    </row>
    <row r="1084" customFormat="false" ht="15" hidden="false" customHeight="false" outlineLevel="0" collapsed="false">
      <c r="B1084" s="28"/>
      <c r="C1084" s="24" t="str">
        <f aca="false">IF(B1084="","",DATE(YEAR(B1084),MONTH(B1084),1))</f>
        <v/>
      </c>
      <c r="N1084" s="26" t="str">
        <f aca="false">IF(L1084="","",L1084*M1084)</f>
        <v/>
      </c>
      <c r="P1084" s="26" t="str">
        <f aca="false">IF(L1084="","",N1084-L1084*O1084)</f>
        <v/>
      </c>
      <c r="T1084" s="22" t="str">
        <f aca="false">IF(R1084="","",IF(R1084&lt;=Q1084,"Yes","No"))</f>
        <v/>
      </c>
      <c r="U1084" s="22" t="str">
        <f aca="false">IF(B1084="","",TEXT(YEAR(B1084),"0"))</f>
        <v/>
      </c>
    </row>
    <row r="1085" customFormat="false" ht="15" hidden="false" customHeight="false" outlineLevel="0" collapsed="false">
      <c r="B1085" s="28"/>
      <c r="C1085" s="24" t="str">
        <f aca="false">IF(B1085="","",DATE(YEAR(B1085),MONTH(B1085),1))</f>
        <v/>
      </c>
      <c r="N1085" s="26" t="str">
        <f aca="false">IF(L1085="","",L1085*M1085)</f>
        <v/>
      </c>
      <c r="P1085" s="26" t="str">
        <f aca="false">IF(L1085="","",N1085-L1085*O1085)</f>
        <v/>
      </c>
      <c r="T1085" s="22" t="str">
        <f aca="false">IF(R1085="","",IF(R1085&lt;=Q1085,"Yes","No"))</f>
        <v/>
      </c>
      <c r="U1085" s="22" t="str">
        <f aca="false">IF(B1085="","",TEXT(YEAR(B1085),"0"))</f>
        <v/>
      </c>
    </row>
    <row r="1086" customFormat="false" ht="15" hidden="false" customHeight="false" outlineLevel="0" collapsed="false">
      <c r="B1086" s="28"/>
      <c r="C1086" s="24" t="str">
        <f aca="false">IF(B1086="","",DATE(YEAR(B1086),MONTH(B1086),1))</f>
        <v/>
      </c>
      <c r="N1086" s="26" t="str">
        <f aca="false">IF(L1086="","",L1086*M1086)</f>
        <v/>
      </c>
      <c r="P1086" s="26" t="str">
        <f aca="false">IF(L1086="","",N1086-L1086*O1086)</f>
        <v/>
      </c>
      <c r="T1086" s="22" t="str">
        <f aca="false">IF(R1086="","",IF(R1086&lt;=Q1086,"Yes","No"))</f>
        <v/>
      </c>
      <c r="U1086" s="22" t="str">
        <f aca="false">IF(B1086="","",TEXT(YEAR(B1086),"0"))</f>
        <v/>
      </c>
    </row>
    <row r="1087" customFormat="false" ht="15" hidden="false" customHeight="false" outlineLevel="0" collapsed="false">
      <c r="B1087" s="28"/>
      <c r="C1087" s="24" t="str">
        <f aca="false">IF(B1087="","",DATE(YEAR(B1087),MONTH(B1087),1))</f>
        <v/>
      </c>
      <c r="N1087" s="26" t="str">
        <f aca="false">IF(L1087="","",L1087*M1087)</f>
        <v/>
      </c>
      <c r="P1087" s="26" t="str">
        <f aca="false">IF(L1087="","",N1087-L1087*O1087)</f>
        <v/>
      </c>
      <c r="T1087" s="22" t="str">
        <f aca="false">IF(R1087="","",IF(R1087&lt;=Q1087,"Yes","No"))</f>
        <v/>
      </c>
      <c r="U1087" s="22" t="str">
        <f aca="false">IF(B1087="","",TEXT(YEAR(B1087),"0"))</f>
        <v/>
      </c>
    </row>
    <row r="1088" customFormat="false" ht="15" hidden="false" customHeight="false" outlineLevel="0" collapsed="false">
      <c r="B1088" s="28"/>
      <c r="C1088" s="24" t="str">
        <f aca="false">IF(B1088="","",DATE(YEAR(B1088),MONTH(B1088),1))</f>
        <v/>
      </c>
      <c r="N1088" s="26" t="str">
        <f aca="false">IF(L1088="","",L1088*M1088)</f>
        <v/>
      </c>
      <c r="P1088" s="26" t="str">
        <f aca="false">IF(L1088="","",N1088-L1088*O1088)</f>
        <v/>
      </c>
      <c r="T1088" s="22" t="str">
        <f aca="false">IF(R1088="","",IF(R1088&lt;=Q1088,"Yes","No"))</f>
        <v/>
      </c>
      <c r="U1088" s="22" t="str">
        <f aca="false">IF(B1088="","",TEXT(YEAR(B1088),"0"))</f>
        <v/>
      </c>
    </row>
    <row r="1089" customFormat="false" ht="15" hidden="false" customHeight="false" outlineLevel="0" collapsed="false">
      <c r="B1089" s="28"/>
      <c r="C1089" s="24" t="str">
        <f aca="false">IF(B1089="","",DATE(YEAR(B1089),MONTH(B1089),1))</f>
        <v/>
      </c>
      <c r="N1089" s="26" t="str">
        <f aca="false">IF(L1089="","",L1089*M1089)</f>
        <v/>
      </c>
      <c r="P1089" s="26" t="str">
        <f aca="false">IF(L1089="","",N1089-L1089*O1089)</f>
        <v/>
      </c>
      <c r="T1089" s="22" t="str">
        <f aca="false">IF(R1089="","",IF(R1089&lt;=Q1089,"Yes","No"))</f>
        <v/>
      </c>
      <c r="U1089" s="22" t="str">
        <f aca="false">IF(B1089="","",TEXT(YEAR(B1089),"0"))</f>
        <v/>
      </c>
    </row>
    <row r="1090" customFormat="false" ht="15" hidden="false" customHeight="false" outlineLevel="0" collapsed="false">
      <c r="B1090" s="28"/>
      <c r="C1090" s="24" t="str">
        <f aca="false">IF(B1090="","",DATE(YEAR(B1090),MONTH(B1090),1))</f>
        <v/>
      </c>
      <c r="N1090" s="26" t="str">
        <f aca="false">IF(L1090="","",L1090*M1090)</f>
        <v/>
      </c>
      <c r="P1090" s="26" t="str">
        <f aca="false">IF(L1090="","",N1090-L1090*O1090)</f>
        <v/>
      </c>
      <c r="T1090" s="22" t="str">
        <f aca="false">IF(R1090="","",IF(R1090&lt;=Q1090,"Yes","No"))</f>
        <v/>
      </c>
      <c r="U1090" s="22" t="str">
        <f aca="false">IF(B1090="","",TEXT(YEAR(B1090),"0"))</f>
        <v/>
      </c>
    </row>
    <row r="1091" customFormat="false" ht="15" hidden="false" customHeight="false" outlineLevel="0" collapsed="false">
      <c r="B1091" s="28"/>
      <c r="C1091" s="24" t="str">
        <f aca="false">IF(B1091="","",DATE(YEAR(B1091),MONTH(B1091),1))</f>
        <v/>
      </c>
      <c r="N1091" s="26" t="str">
        <f aca="false">IF(L1091="","",L1091*M1091)</f>
        <v/>
      </c>
      <c r="P1091" s="26" t="str">
        <f aca="false">IF(L1091="","",N1091-L1091*O1091)</f>
        <v/>
      </c>
      <c r="T1091" s="22" t="str">
        <f aca="false">IF(R1091="","",IF(R1091&lt;=Q1091,"Yes","No"))</f>
        <v/>
      </c>
      <c r="U1091" s="22" t="str">
        <f aca="false">IF(B1091="","",TEXT(YEAR(B1091),"0"))</f>
        <v/>
      </c>
    </row>
    <row r="1092" customFormat="false" ht="15" hidden="false" customHeight="false" outlineLevel="0" collapsed="false">
      <c r="B1092" s="28"/>
      <c r="C1092" s="24" t="str">
        <f aca="false">IF(B1092="","",DATE(YEAR(B1092),MONTH(B1092),1))</f>
        <v/>
      </c>
      <c r="N1092" s="26" t="str">
        <f aca="false">IF(L1092="","",L1092*M1092)</f>
        <v/>
      </c>
      <c r="P1092" s="26" t="str">
        <f aca="false">IF(L1092="","",N1092-L1092*O1092)</f>
        <v/>
      </c>
      <c r="T1092" s="22" t="str">
        <f aca="false">IF(R1092="","",IF(R1092&lt;=Q1092,"Yes","No"))</f>
        <v/>
      </c>
      <c r="U1092" s="22" t="str">
        <f aca="false">IF(B1092="","",TEXT(YEAR(B1092),"0"))</f>
        <v/>
      </c>
    </row>
    <row r="1093" customFormat="false" ht="15" hidden="false" customHeight="false" outlineLevel="0" collapsed="false">
      <c r="B1093" s="28"/>
      <c r="C1093" s="24" t="str">
        <f aca="false">IF(B1093="","",DATE(YEAR(B1093),MONTH(B1093),1))</f>
        <v/>
      </c>
      <c r="N1093" s="26" t="str">
        <f aca="false">IF(L1093="","",L1093*M1093)</f>
        <v/>
      </c>
      <c r="P1093" s="26" t="str">
        <f aca="false">IF(L1093="","",N1093-L1093*O1093)</f>
        <v/>
      </c>
      <c r="T1093" s="22" t="str">
        <f aca="false">IF(R1093="","",IF(R1093&lt;=Q1093,"Yes","No"))</f>
        <v/>
      </c>
      <c r="U1093" s="22" t="str">
        <f aca="false">IF(B1093="","",TEXT(YEAR(B1093),"0"))</f>
        <v/>
      </c>
    </row>
    <row r="1094" customFormat="false" ht="15" hidden="false" customHeight="false" outlineLevel="0" collapsed="false">
      <c r="B1094" s="28"/>
      <c r="C1094" s="24" t="str">
        <f aca="false">IF(B1094="","",DATE(YEAR(B1094),MONTH(B1094),1))</f>
        <v/>
      </c>
      <c r="N1094" s="26" t="str">
        <f aca="false">IF(L1094="","",L1094*M1094)</f>
        <v/>
      </c>
      <c r="P1094" s="26" t="str">
        <f aca="false">IF(L1094="","",N1094-L1094*O1094)</f>
        <v/>
      </c>
      <c r="T1094" s="22" t="str">
        <f aca="false">IF(R1094="","",IF(R1094&lt;=Q1094,"Yes","No"))</f>
        <v/>
      </c>
      <c r="U1094" s="22" t="str">
        <f aca="false">IF(B1094="","",TEXT(YEAR(B1094),"0"))</f>
        <v/>
      </c>
    </row>
    <row r="1095" customFormat="false" ht="15" hidden="false" customHeight="false" outlineLevel="0" collapsed="false">
      <c r="B1095" s="28"/>
      <c r="C1095" s="24" t="str">
        <f aca="false">IF(B1095="","",DATE(YEAR(B1095),MONTH(B1095),1))</f>
        <v/>
      </c>
      <c r="N1095" s="26" t="str">
        <f aca="false">IF(L1095="","",L1095*M1095)</f>
        <v/>
      </c>
      <c r="P1095" s="26" t="str">
        <f aca="false">IF(L1095="","",N1095-L1095*O1095)</f>
        <v/>
      </c>
      <c r="T1095" s="22" t="str">
        <f aca="false">IF(R1095="","",IF(R1095&lt;=Q1095,"Yes","No"))</f>
        <v/>
      </c>
      <c r="U1095" s="22" t="str">
        <f aca="false">IF(B1095="","",TEXT(YEAR(B1095),"0"))</f>
        <v/>
      </c>
    </row>
    <row r="1096" customFormat="false" ht="15" hidden="false" customHeight="false" outlineLevel="0" collapsed="false">
      <c r="B1096" s="28"/>
      <c r="C1096" s="24" t="str">
        <f aca="false">IF(B1096="","",DATE(YEAR(B1096),MONTH(B1096),1))</f>
        <v/>
      </c>
      <c r="N1096" s="26" t="str">
        <f aca="false">IF(L1096="","",L1096*M1096)</f>
        <v/>
      </c>
      <c r="P1096" s="26" t="str">
        <f aca="false">IF(L1096="","",N1096-L1096*O1096)</f>
        <v/>
      </c>
      <c r="T1096" s="22" t="str">
        <f aca="false">IF(R1096="","",IF(R1096&lt;=Q1096,"Yes","No"))</f>
        <v/>
      </c>
      <c r="U1096" s="22" t="str">
        <f aca="false">IF(B1096="","",TEXT(YEAR(B1096),"0"))</f>
        <v/>
      </c>
    </row>
    <row r="1097" customFormat="false" ht="15" hidden="false" customHeight="false" outlineLevel="0" collapsed="false">
      <c r="B1097" s="28"/>
      <c r="C1097" s="24" t="str">
        <f aca="false">IF(B1097="","",DATE(YEAR(B1097),MONTH(B1097),1))</f>
        <v/>
      </c>
      <c r="N1097" s="26" t="str">
        <f aca="false">IF(L1097="","",L1097*M1097)</f>
        <v/>
      </c>
      <c r="P1097" s="26" t="str">
        <f aca="false">IF(L1097="","",N1097-L1097*O1097)</f>
        <v/>
      </c>
      <c r="T1097" s="22" t="str">
        <f aca="false">IF(R1097="","",IF(R1097&lt;=Q1097,"Yes","No"))</f>
        <v/>
      </c>
      <c r="U1097" s="22" t="str">
        <f aca="false">IF(B1097="","",TEXT(YEAR(B1097),"0"))</f>
        <v/>
      </c>
    </row>
    <row r="1098" customFormat="false" ht="15" hidden="false" customHeight="false" outlineLevel="0" collapsed="false">
      <c r="B1098" s="28"/>
      <c r="C1098" s="24" t="str">
        <f aca="false">IF(B1098="","",DATE(YEAR(B1098),MONTH(B1098),1))</f>
        <v/>
      </c>
      <c r="N1098" s="26" t="str">
        <f aca="false">IF(L1098="","",L1098*M1098)</f>
        <v/>
      </c>
      <c r="P1098" s="26" t="str">
        <f aca="false">IF(L1098="","",N1098-L1098*O1098)</f>
        <v/>
      </c>
      <c r="T1098" s="22" t="str">
        <f aca="false">IF(R1098="","",IF(R1098&lt;=Q1098,"Yes","No"))</f>
        <v/>
      </c>
      <c r="U1098" s="22" t="str">
        <f aca="false">IF(B1098="","",TEXT(YEAR(B1098),"0"))</f>
        <v/>
      </c>
    </row>
    <row r="1099" customFormat="false" ht="15" hidden="false" customHeight="false" outlineLevel="0" collapsed="false">
      <c r="B1099" s="28"/>
      <c r="C1099" s="24" t="str">
        <f aca="false">IF(B1099="","",DATE(YEAR(B1099),MONTH(B1099),1))</f>
        <v/>
      </c>
      <c r="N1099" s="26" t="str">
        <f aca="false">IF(L1099="","",L1099*M1099)</f>
        <v/>
      </c>
      <c r="P1099" s="26" t="str">
        <f aca="false">IF(L1099="","",N1099-L1099*O1099)</f>
        <v/>
      </c>
      <c r="T1099" s="22" t="str">
        <f aca="false">IF(R1099="","",IF(R1099&lt;=Q1099,"Yes","No"))</f>
        <v/>
      </c>
      <c r="U1099" s="22" t="str">
        <f aca="false">IF(B1099="","",TEXT(YEAR(B1099),"0"))</f>
        <v/>
      </c>
    </row>
    <row r="1100" customFormat="false" ht="15" hidden="false" customHeight="false" outlineLevel="0" collapsed="false">
      <c r="B1100" s="28"/>
      <c r="C1100" s="24" t="str">
        <f aca="false">IF(B1100="","",DATE(YEAR(B1100),MONTH(B1100),1))</f>
        <v/>
      </c>
      <c r="N1100" s="26" t="str">
        <f aca="false">IF(L1100="","",L1100*M1100)</f>
        <v/>
      </c>
      <c r="P1100" s="26" t="str">
        <f aca="false">IF(L1100="","",N1100-L1100*O1100)</f>
        <v/>
      </c>
      <c r="T1100" s="22" t="str">
        <f aca="false">IF(R1100="","",IF(R1100&lt;=Q1100,"Yes","No"))</f>
        <v/>
      </c>
      <c r="U1100" s="22" t="str">
        <f aca="false">IF(B1100="","",TEXT(YEAR(B1100),"0"))</f>
        <v/>
      </c>
    </row>
    <row r="1101" customFormat="false" ht="15" hidden="false" customHeight="false" outlineLevel="0" collapsed="false">
      <c r="B1101" s="28"/>
      <c r="C1101" s="24" t="str">
        <f aca="false">IF(B1101="","",DATE(YEAR(B1101),MONTH(B1101),1))</f>
        <v/>
      </c>
      <c r="N1101" s="26" t="str">
        <f aca="false">IF(L1101="","",L1101*M1101)</f>
        <v/>
      </c>
      <c r="P1101" s="26" t="str">
        <f aca="false">IF(L1101="","",N1101-L1101*O1101)</f>
        <v/>
      </c>
      <c r="T1101" s="22" t="str">
        <f aca="false">IF(R1101="","",IF(R1101&lt;=Q1101,"Yes","No"))</f>
        <v/>
      </c>
      <c r="U1101" s="22" t="str">
        <f aca="false">IF(B1101="","",TEXT(YEAR(B1101),"0"))</f>
        <v/>
      </c>
    </row>
    <row r="1102" customFormat="false" ht="15" hidden="false" customHeight="false" outlineLevel="0" collapsed="false">
      <c r="B1102" s="28"/>
      <c r="C1102" s="24" t="str">
        <f aca="false">IF(B1102="","",DATE(YEAR(B1102),MONTH(B1102),1))</f>
        <v/>
      </c>
      <c r="N1102" s="26" t="str">
        <f aca="false">IF(L1102="","",L1102*M1102)</f>
        <v/>
      </c>
      <c r="P1102" s="26" t="str">
        <f aca="false">IF(L1102="","",N1102-L1102*O1102)</f>
        <v/>
      </c>
      <c r="T1102" s="22" t="str">
        <f aca="false">IF(R1102="","",IF(R1102&lt;=Q1102,"Yes","No"))</f>
        <v/>
      </c>
      <c r="U1102" s="22" t="str">
        <f aca="false">IF(B1102="","",TEXT(YEAR(B1102),"0"))</f>
        <v/>
      </c>
    </row>
    <row r="1103" customFormat="false" ht="15" hidden="false" customHeight="false" outlineLevel="0" collapsed="false">
      <c r="B1103" s="28"/>
      <c r="C1103" s="24" t="str">
        <f aca="false">IF(B1103="","",DATE(YEAR(B1103),MONTH(B1103),1))</f>
        <v/>
      </c>
      <c r="N1103" s="26" t="str">
        <f aca="false">IF(L1103="","",L1103*M1103)</f>
        <v/>
      </c>
      <c r="P1103" s="26" t="str">
        <f aca="false">IF(L1103="","",N1103-L1103*O1103)</f>
        <v/>
      </c>
      <c r="T1103" s="22" t="str">
        <f aca="false">IF(R1103="","",IF(R1103&lt;=Q1103,"Yes","No"))</f>
        <v/>
      </c>
      <c r="U1103" s="22" t="str">
        <f aca="false">IF(B1103="","",TEXT(YEAR(B1103),"0"))</f>
        <v/>
      </c>
    </row>
    <row r="1104" customFormat="false" ht="15" hidden="false" customHeight="false" outlineLevel="0" collapsed="false">
      <c r="B1104" s="28"/>
      <c r="C1104" s="24" t="str">
        <f aca="false">IF(B1104="","",DATE(YEAR(B1104),MONTH(B1104),1))</f>
        <v/>
      </c>
      <c r="N1104" s="26" t="str">
        <f aca="false">IF(L1104="","",L1104*M1104)</f>
        <v/>
      </c>
      <c r="P1104" s="26" t="str">
        <f aca="false">IF(L1104="","",N1104-L1104*O1104)</f>
        <v/>
      </c>
      <c r="T1104" s="22" t="str">
        <f aca="false">IF(R1104="","",IF(R1104&lt;=Q1104,"Yes","No"))</f>
        <v/>
      </c>
      <c r="U1104" s="22" t="str">
        <f aca="false">IF(B1104="","",TEXT(YEAR(B1104),"0"))</f>
        <v/>
      </c>
    </row>
    <row r="1105" customFormat="false" ht="15" hidden="false" customHeight="false" outlineLevel="0" collapsed="false">
      <c r="B1105" s="28"/>
      <c r="C1105" s="24" t="str">
        <f aca="false">IF(B1105="","",DATE(YEAR(B1105),MONTH(B1105),1))</f>
        <v/>
      </c>
      <c r="N1105" s="26" t="str">
        <f aca="false">IF(L1105="","",L1105*M1105)</f>
        <v/>
      </c>
      <c r="P1105" s="26" t="str">
        <f aca="false">IF(L1105="","",N1105-L1105*O1105)</f>
        <v/>
      </c>
      <c r="T1105" s="22" t="str">
        <f aca="false">IF(R1105="","",IF(R1105&lt;=Q1105,"Yes","No"))</f>
        <v/>
      </c>
      <c r="U1105" s="22" t="str">
        <f aca="false">IF(B1105="","",TEXT(YEAR(B1105),"0"))</f>
        <v/>
      </c>
    </row>
    <row r="1106" customFormat="false" ht="15" hidden="false" customHeight="false" outlineLevel="0" collapsed="false">
      <c r="B1106" s="28"/>
      <c r="C1106" s="24" t="str">
        <f aca="false">IF(B1106="","",DATE(YEAR(B1106),MONTH(B1106),1))</f>
        <v/>
      </c>
      <c r="N1106" s="26" t="str">
        <f aca="false">IF(L1106="","",L1106*M1106)</f>
        <v/>
      </c>
      <c r="P1106" s="26" t="str">
        <f aca="false">IF(L1106="","",N1106-L1106*O1106)</f>
        <v/>
      </c>
      <c r="T1106" s="22" t="str">
        <f aca="false">IF(R1106="","",IF(R1106&lt;=Q1106,"Yes","No"))</f>
        <v/>
      </c>
      <c r="U1106" s="22" t="str">
        <f aca="false">IF(B1106="","",TEXT(YEAR(B1106),"0"))</f>
        <v/>
      </c>
    </row>
    <row r="1107" customFormat="false" ht="15" hidden="false" customHeight="false" outlineLevel="0" collapsed="false">
      <c r="B1107" s="28"/>
      <c r="C1107" s="24" t="str">
        <f aca="false">IF(B1107="","",DATE(YEAR(B1107),MONTH(B1107),1))</f>
        <v/>
      </c>
      <c r="N1107" s="26" t="str">
        <f aca="false">IF(L1107="","",L1107*M1107)</f>
        <v/>
      </c>
      <c r="P1107" s="26" t="str">
        <f aca="false">IF(L1107="","",N1107-L1107*O1107)</f>
        <v/>
      </c>
      <c r="T1107" s="22" t="str">
        <f aca="false">IF(R1107="","",IF(R1107&lt;=Q1107,"Yes","No"))</f>
        <v/>
      </c>
      <c r="U1107" s="22" t="str">
        <f aca="false">IF(B1107="","",TEXT(YEAR(B1107),"0"))</f>
        <v/>
      </c>
    </row>
    <row r="1108" customFormat="false" ht="15" hidden="false" customHeight="false" outlineLevel="0" collapsed="false">
      <c r="B1108" s="28"/>
      <c r="C1108" s="24" t="str">
        <f aca="false">IF(B1108="","",DATE(YEAR(B1108),MONTH(B1108),1))</f>
        <v/>
      </c>
      <c r="N1108" s="26" t="str">
        <f aca="false">IF(L1108="","",L1108*M1108)</f>
        <v/>
      </c>
      <c r="P1108" s="26" t="str">
        <f aca="false">IF(L1108="","",N1108-L1108*O1108)</f>
        <v/>
      </c>
      <c r="T1108" s="22" t="str">
        <f aca="false">IF(R1108="","",IF(R1108&lt;=Q1108,"Yes","No"))</f>
        <v/>
      </c>
      <c r="U1108" s="22" t="str">
        <f aca="false">IF(B1108="","",TEXT(YEAR(B1108),"0"))</f>
        <v/>
      </c>
    </row>
    <row r="1109" customFormat="false" ht="15" hidden="false" customHeight="false" outlineLevel="0" collapsed="false">
      <c r="B1109" s="28"/>
      <c r="C1109" s="24" t="str">
        <f aca="false">IF(B1109="","",DATE(YEAR(B1109),MONTH(B1109),1))</f>
        <v/>
      </c>
      <c r="N1109" s="26" t="str">
        <f aca="false">IF(L1109="","",L1109*M1109)</f>
        <v/>
      </c>
      <c r="P1109" s="26" t="str">
        <f aca="false">IF(L1109="","",N1109-L1109*O1109)</f>
        <v/>
      </c>
      <c r="T1109" s="22" t="str">
        <f aca="false">IF(R1109="","",IF(R1109&lt;=Q1109,"Yes","No"))</f>
        <v/>
      </c>
      <c r="U1109" s="22" t="str">
        <f aca="false">IF(B1109="","",TEXT(YEAR(B1109),"0"))</f>
        <v/>
      </c>
    </row>
    <row r="1110" customFormat="false" ht="15" hidden="false" customHeight="false" outlineLevel="0" collapsed="false">
      <c r="B1110" s="28"/>
      <c r="C1110" s="24" t="str">
        <f aca="false">IF(B1110="","",DATE(YEAR(B1110),MONTH(B1110),1))</f>
        <v/>
      </c>
      <c r="N1110" s="26" t="str">
        <f aca="false">IF(L1110="","",L1110*M1110)</f>
        <v/>
      </c>
      <c r="P1110" s="26" t="str">
        <f aca="false">IF(L1110="","",N1110-L1110*O1110)</f>
        <v/>
      </c>
      <c r="T1110" s="22" t="str">
        <f aca="false">IF(R1110="","",IF(R1110&lt;=Q1110,"Yes","No"))</f>
        <v/>
      </c>
      <c r="U1110" s="22" t="str">
        <f aca="false">IF(B1110="","",TEXT(YEAR(B1110),"0"))</f>
        <v/>
      </c>
    </row>
    <row r="1111" customFormat="false" ht="15" hidden="false" customHeight="false" outlineLevel="0" collapsed="false">
      <c r="B1111" s="28"/>
      <c r="C1111" s="24" t="str">
        <f aca="false">IF(B1111="","",DATE(YEAR(B1111),MONTH(B1111),1))</f>
        <v/>
      </c>
      <c r="N1111" s="26" t="str">
        <f aca="false">IF(L1111="","",L1111*M1111)</f>
        <v/>
      </c>
      <c r="P1111" s="26" t="str">
        <f aca="false">IF(L1111="","",N1111-L1111*O1111)</f>
        <v/>
      </c>
      <c r="T1111" s="22" t="str">
        <f aca="false">IF(R1111="","",IF(R1111&lt;=Q1111,"Yes","No"))</f>
        <v/>
      </c>
      <c r="U1111" s="22" t="str">
        <f aca="false">IF(B1111="","",TEXT(YEAR(B1111),"0"))</f>
        <v/>
      </c>
    </row>
    <row r="1112" customFormat="false" ht="15" hidden="false" customHeight="false" outlineLevel="0" collapsed="false">
      <c r="B1112" s="28"/>
      <c r="C1112" s="24" t="str">
        <f aca="false">IF(B1112="","",DATE(YEAR(B1112),MONTH(B1112),1))</f>
        <v/>
      </c>
      <c r="N1112" s="26" t="str">
        <f aca="false">IF(L1112="","",L1112*M1112)</f>
        <v/>
      </c>
      <c r="P1112" s="26" t="str">
        <f aca="false">IF(L1112="","",N1112-L1112*O1112)</f>
        <v/>
      </c>
      <c r="T1112" s="22" t="str">
        <f aca="false">IF(R1112="","",IF(R1112&lt;=Q1112,"Yes","No"))</f>
        <v/>
      </c>
      <c r="U1112" s="22" t="str">
        <f aca="false">IF(B1112="","",TEXT(YEAR(B1112),"0"))</f>
        <v/>
      </c>
    </row>
    <row r="1113" customFormat="false" ht="15" hidden="false" customHeight="false" outlineLevel="0" collapsed="false">
      <c r="B1113" s="28"/>
      <c r="C1113" s="24" t="str">
        <f aca="false">IF(B1113="","",DATE(YEAR(B1113),MONTH(B1113),1))</f>
        <v/>
      </c>
      <c r="N1113" s="26" t="str">
        <f aca="false">IF(L1113="","",L1113*M1113)</f>
        <v/>
      </c>
      <c r="P1113" s="26" t="str">
        <f aca="false">IF(L1113="","",N1113-L1113*O1113)</f>
        <v/>
      </c>
      <c r="T1113" s="22" t="str">
        <f aca="false">IF(R1113="","",IF(R1113&lt;=Q1113,"Yes","No"))</f>
        <v/>
      </c>
      <c r="U1113" s="22" t="str">
        <f aca="false">IF(B1113="","",TEXT(YEAR(B1113),"0"))</f>
        <v/>
      </c>
    </row>
    <row r="1114" customFormat="false" ht="15" hidden="false" customHeight="false" outlineLevel="0" collapsed="false">
      <c r="B1114" s="28"/>
      <c r="C1114" s="24" t="str">
        <f aca="false">IF(B1114="","",DATE(YEAR(B1114),MONTH(B1114),1))</f>
        <v/>
      </c>
      <c r="N1114" s="26" t="str">
        <f aca="false">IF(L1114="","",L1114*M1114)</f>
        <v/>
      </c>
      <c r="P1114" s="26" t="str">
        <f aca="false">IF(L1114="","",N1114-L1114*O1114)</f>
        <v/>
      </c>
      <c r="T1114" s="22" t="str">
        <f aca="false">IF(R1114="","",IF(R1114&lt;=Q1114,"Yes","No"))</f>
        <v/>
      </c>
      <c r="U1114" s="22" t="str">
        <f aca="false">IF(B1114="","",TEXT(YEAR(B1114),"0"))</f>
        <v/>
      </c>
    </row>
    <row r="1115" customFormat="false" ht="15" hidden="false" customHeight="false" outlineLevel="0" collapsed="false">
      <c r="B1115" s="28"/>
      <c r="C1115" s="24" t="str">
        <f aca="false">IF(B1115="","",DATE(YEAR(B1115),MONTH(B1115),1))</f>
        <v/>
      </c>
      <c r="N1115" s="26" t="str">
        <f aca="false">IF(L1115="","",L1115*M1115)</f>
        <v/>
      </c>
      <c r="P1115" s="26" t="str">
        <f aca="false">IF(L1115="","",N1115-L1115*O1115)</f>
        <v/>
      </c>
      <c r="T1115" s="22" t="str">
        <f aca="false">IF(R1115="","",IF(R1115&lt;=Q1115,"Yes","No"))</f>
        <v/>
      </c>
      <c r="U1115" s="22" t="str">
        <f aca="false">IF(B1115="","",TEXT(YEAR(B1115),"0"))</f>
        <v/>
      </c>
    </row>
    <row r="1116" customFormat="false" ht="15" hidden="false" customHeight="false" outlineLevel="0" collapsed="false">
      <c r="B1116" s="28"/>
      <c r="C1116" s="24" t="str">
        <f aca="false">IF(B1116="","",DATE(YEAR(B1116),MONTH(B1116),1))</f>
        <v/>
      </c>
      <c r="N1116" s="26" t="str">
        <f aca="false">IF(L1116="","",L1116*M1116)</f>
        <v/>
      </c>
      <c r="P1116" s="26" t="str">
        <f aca="false">IF(L1116="","",N1116-L1116*O1116)</f>
        <v/>
      </c>
      <c r="T1116" s="22" t="str">
        <f aca="false">IF(R1116="","",IF(R1116&lt;=Q1116,"Yes","No"))</f>
        <v/>
      </c>
      <c r="U1116" s="22" t="str">
        <f aca="false">IF(B1116="","",TEXT(YEAR(B1116),"0"))</f>
        <v/>
      </c>
    </row>
    <row r="1117" customFormat="false" ht="15" hidden="false" customHeight="false" outlineLevel="0" collapsed="false">
      <c r="B1117" s="28"/>
      <c r="C1117" s="24" t="str">
        <f aca="false">IF(B1117="","",DATE(YEAR(B1117),MONTH(B1117),1))</f>
        <v/>
      </c>
      <c r="N1117" s="26" t="str">
        <f aca="false">IF(L1117="","",L1117*M1117)</f>
        <v/>
      </c>
      <c r="P1117" s="26" t="str">
        <f aca="false">IF(L1117="","",N1117-L1117*O1117)</f>
        <v/>
      </c>
      <c r="T1117" s="22" t="str">
        <f aca="false">IF(R1117="","",IF(R1117&lt;=Q1117,"Yes","No"))</f>
        <v/>
      </c>
      <c r="U1117" s="22" t="str">
        <f aca="false">IF(B1117="","",TEXT(YEAR(B1117),"0"))</f>
        <v/>
      </c>
    </row>
    <row r="1118" customFormat="false" ht="15" hidden="false" customHeight="false" outlineLevel="0" collapsed="false">
      <c r="B1118" s="28"/>
      <c r="C1118" s="24" t="str">
        <f aca="false">IF(B1118="","",DATE(YEAR(B1118),MONTH(B1118),1))</f>
        <v/>
      </c>
      <c r="N1118" s="26" t="str">
        <f aca="false">IF(L1118="","",L1118*M1118)</f>
        <v/>
      </c>
      <c r="P1118" s="26" t="str">
        <f aca="false">IF(L1118="","",N1118-L1118*O1118)</f>
        <v/>
      </c>
      <c r="T1118" s="22" t="str">
        <f aca="false">IF(R1118="","",IF(R1118&lt;=Q1118,"Yes","No"))</f>
        <v/>
      </c>
      <c r="U1118" s="22" t="str">
        <f aca="false">IF(B1118="","",TEXT(YEAR(B1118),"0"))</f>
        <v/>
      </c>
    </row>
    <row r="1119" customFormat="false" ht="15" hidden="false" customHeight="false" outlineLevel="0" collapsed="false">
      <c r="B1119" s="28"/>
      <c r="C1119" s="24" t="str">
        <f aca="false">IF(B1119="","",DATE(YEAR(B1119),MONTH(B1119),1))</f>
        <v/>
      </c>
      <c r="N1119" s="26" t="str">
        <f aca="false">IF(L1119="","",L1119*M1119)</f>
        <v/>
      </c>
      <c r="P1119" s="26" t="str">
        <f aca="false">IF(L1119="","",N1119-L1119*O1119)</f>
        <v/>
      </c>
      <c r="T1119" s="22" t="str">
        <f aca="false">IF(R1119="","",IF(R1119&lt;=Q1119,"Yes","No"))</f>
        <v/>
      </c>
      <c r="U1119" s="22" t="str">
        <f aca="false">IF(B1119="","",TEXT(YEAR(B1119),"0"))</f>
        <v/>
      </c>
    </row>
    <row r="1120" customFormat="false" ht="15" hidden="false" customHeight="false" outlineLevel="0" collapsed="false">
      <c r="B1120" s="28"/>
      <c r="C1120" s="24" t="str">
        <f aca="false">IF(B1120="","",DATE(YEAR(B1120),MONTH(B1120),1))</f>
        <v/>
      </c>
      <c r="N1120" s="26" t="str">
        <f aca="false">IF(L1120="","",L1120*M1120)</f>
        <v/>
      </c>
      <c r="P1120" s="26" t="str">
        <f aca="false">IF(L1120="","",N1120-L1120*O1120)</f>
        <v/>
      </c>
      <c r="T1120" s="22" t="str">
        <f aca="false">IF(R1120="","",IF(R1120&lt;=Q1120,"Yes","No"))</f>
        <v/>
      </c>
      <c r="U1120" s="22" t="str">
        <f aca="false">IF(B1120="","",TEXT(YEAR(B1120),"0"))</f>
        <v/>
      </c>
    </row>
    <row r="1121" customFormat="false" ht="15" hidden="false" customHeight="false" outlineLevel="0" collapsed="false">
      <c r="B1121" s="28"/>
      <c r="C1121" s="24" t="str">
        <f aca="false">IF(B1121="","",DATE(YEAR(B1121),MONTH(B1121),1))</f>
        <v/>
      </c>
      <c r="N1121" s="26" t="str">
        <f aca="false">IF(L1121="","",L1121*M1121)</f>
        <v/>
      </c>
      <c r="P1121" s="26" t="str">
        <f aca="false">IF(L1121="","",N1121-L1121*O1121)</f>
        <v/>
      </c>
      <c r="T1121" s="22" t="str">
        <f aca="false">IF(R1121="","",IF(R1121&lt;=Q1121,"Yes","No"))</f>
        <v/>
      </c>
      <c r="U1121" s="22" t="str">
        <f aca="false">IF(B1121="","",TEXT(YEAR(B1121),"0"))</f>
        <v/>
      </c>
    </row>
    <row r="1122" customFormat="false" ht="15" hidden="false" customHeight="false" outlineLevel="0" collapsed="false">
      <c r="B1122" s="28"/>
      <c r="C1122" s="24" t="str">
        <f aca="false">IF(B1122="","",DATE(YEAR(B1122),MONTH(B1122),1))</f>
        <v/>
      </c>
      <c r="N1122" s="26" t="str">
        <f aca="false">IF(L1122="","",L1122*M1122)</f>
        <v/>
      </c>
      <c r="P1122" s="26" t="str">
        <f aca="false">IF(L1122="","",N1122-L1122*O1122)</f>
        <v/>
      </c>
      <c r="T1122" s="22" t="str">
        <f aca="false">IF(R1122="","",IF(R1122&lt;=Q1122,"Yes","No"))</f>
        <v/>
      </c>
      <c r="U1122" s="22" t="str">
        <f aca="false">IF(B1122="","",TEXT(YEAR(B1122),"0"))</f>
        <v/>
      </c>
    </row>
    <row r="1123" customFormat="false" ht="15" hidden="false" customHeight="false" outlineLevel="0" collapsed="false">
      <c r="B1123" s="28"/>
      <c r="C1123" s="24" t="str">
        <f aca="false">IF(B1123="","",DATE(YEAR(B1123),MONTH(B1123),1))</f>
        <v/>
      </c>
      <c r="N1123" s="26" t="str">
        <f aca="false">IF(L1123="","",L1123*M1123)</f>
        <v/>
      </c>
      <c r="P1123" s="26" t="str">
        <f aca="false">IF(L1123="","",N1123-L1123*O1123)</f>
        <v/>
      </c>
      <c r="T1123" s="22" t="str">
        <f aca="false">IF(R1123="","",IF(R1123&lt;=Q1123,"Yes","No"))</f>
        <v/>
      </c>
      <c r="U1123" s="22" t="str">
        <f aca="false">IF(B1123="","",TEXT(YEAR(B1123),"0"))</f>
        <v/>
      </c>
    </row>
    <row r="1124" customFormat="false" ht="15" hidden="false" customHeight="false" outlineLevel="0" collapsed="false">
      <c r="B1124" s="28"/>
      <c r="C1124" s="24" t="str">
        <f aca="false">IF(B1124="","",DATE(YEAR(B1124),MONTH(B1124),1))</f>
        <v/>
      </c>
      <c r="N1124" s="26" t="str">
        <f aca="false">IF(L1124="","",L1124*M1124)</f>
        <v/>
      </c>
      <c r="P1124" s="26" t="str">
        <f aca="false">IF(L1124="","",N1124-L1124*O1124)</f>
        <v/>
      </c>
      <c r="T1124" s="22" t="str">
        <f aca="false">IF(R1124="","",IF(R1124&lt;=Q1124,"Yes","No"))</f>
        <v/>
      </c>
      <c r="U1124" s="22" t="str">
        <f aca="false">IF(B1124="","",TEXT(YEAR(B1124),"0"))</f>
        <v/>
      </c>
    </row>
    <row r="1125" customFormat="false" ht="15" hidden="false" customHeight="false" outlineLevel="0" collapsed="false">
      <c r="B1125" s="28"/>
      <c r="C1125" s="24" t="str">
        <f aca="false">IF(B1125="","",DATE(YEAR(B1125),MONTH(B1125),1))</f>
        <v/>
      </c>
      <c r="N1125" s="26" t="str">
        <f aca="false">IF(L1125="","",L1125*M1125)</f>
        <v/>
      </c>
      <c r="P1125" s="26" t="str">
        <f aca="false">IF(L1125="","",N1125-L1125*O1125)</f>
        <v/>
      </c>
      <c r="T1125" s="22" t="str">
        <f aca="false">IF(R1125="","",IF(R1125&lt;=Q1125,"Yes","No"))</f>
        <v/>
      </c>
      <c r="U1125" s="22" t="str">
        <f aca="false">IF(B1125="","",TEXT(YEAR(B1125),"0"))</f>
        <v/>
      </c>
    </row>
    <row r="1126" customFormat="false" ht="15" hidden="false" customHeight="false" outlineLevel="0" collapsed="false">
      <c r="B1126" s="28"/>
      <c r="C1126" s="24" t="str">
        <f aca="false">IF(B1126="","",DATE(YEAR(B1126),MONTH(B1126),1))</f>
        <v/>
      </c>
      <c r="N1126" s="26" t="str">
        <f aca="false">IF(L1126="","",L1126*M1126)</f>
        <v/>
      </c>
      <c r="P1126" s="26" t="str">
        <f aca="false">IF(L1126="","",N1126-L1126*O1126)</f>
        <v/>
      </c>
      <c r="T1126" s="22" t="str">
        <f aca="false">IF(R1126="","",IF(R1126&lt;=Q1126,"Yes","No"))</f>
        <v/>
      </c>
      <c r="U1126" s="22" t="str">
        <f aca="false">IF(B1126="","",TEXT(YEAR(B1126),"0"))</f>
        <v/>
      </c>
    </row>
    <row r="1127" customFormat="false" ht="15" hidden="false" customHeight="false" outlineLevel="0" collapsed="false">
      <c r="B1127" s="28"/>
      <c r="C1127" s="24" t="str">
        <f aca="false">IF(B1127="","",DATE(YEAR(B1127),MONTH(B1127),1))</f>
        <v/>
      </c>
      <c r="N1127" s="26" t="str">
        <f aca="false">IF(L1127="","",L1127*M1127)</f>
        <v/>
      </c>
      <c r="P1127" s="26" t="str">
        <f aca="false">IF(L1127="","",N1127-L1127*O1127)</f>
        <v/>
      </c>
      <c r="T1127" s="22" t="str">
        <f aca="false">IF(R1127="","",IF(R1127&lt;=Q1127,"Yes","No"))</f>
        <v/>
      </c>
      <c r="U1127" s="22" t="str">
        <f aca="false">IF(B1127="","",TEXT(YEAR(B1127),"0"))</f>
        <v/>
      </c>
    </row>
    <row r="1128" customFormat="false" ht="15" hidden="false" customHeight="false" outlineLevel="0" collapsed="false">
      <c r="B1128" s="28"/>
      <c r="C1128" s="24" t="str">
        <f aca="false">IF(B1128="","",DATE(YEAR(B1128),MONTH(B1128),1))</f>
        <v/>
      </c>
      <c r="N1128" s="26" t="str">
        <f aca="false">IF(L1128="","",L1128*M1128)</f>
        <v/>
      </c>
      <c r="P1128" s="26" t="str">
        <f aca="false">IF(L1128="","",N1128-L1128*O1128)</f>
        <v/>
      </c>
      <c r="T1128" s="22" t="str">
        <f aca="false">IF(R1128="","",IF(R1128&lt;=Q1128,"Yes","No"))</f>
        <v/>
      </c>
      <c r="U1128" s="22" t="str">
        <f aca="false">IF(B1128="","",TEXT(YEAR(B1128),"0"))</f>
        <v/>
      </c>
    </row>
    <row r="1129" customFormat="false" ht="15" hidden="false" customHeight="false" outlineLevel="0" collapsed="false">
      <c r="B1129" s="28"/>
      <c r="C1129" s="24" t="str">
        <f aca="false">IF(B1129="","",DATE(YEAR(B1129),MONTH(B1129),1))</f>
        <v/>
      </c>
      <c r="N1129" s="26" t="str">
        <f aca="false">IF(L1129="","",L1129*M1129)</f>
        <v/>
      </c>
      <c r="P1129" s="26" t="str">
        <f aca="false">IF(L1129="","",N1129-L1129*O1129)</f>
        <v/>
      </c>
      <c r="T1129" s="22" t="str">
        <f aca="false">IF(R1129="","",IF(R1129&lt;=Q1129,"Yes","No"))</f>
        <v/>
      </c>
      <c r="U1129" s="22" t="str">
        <f aca="false">IF(B1129="","",TEXT(YEAR(B1129),"0"))</f>
        <v/>
      </c>
    </row>
    <row r="1130" customFormat="false" ht="15" hidden="false" customHeight="false" outlineLevel="0" collapsed="false">
      <c r="B1130" s="28"/>
      <c r="C1130" s="24" t="str">
        <f aca="false">IF(B1130="","",DATE(YEAR(B1130),MONTH(B1130),1))</f>
        <v/>
      </c>
      <c r="N1130" s="26" t="str">
        <f aca="false">IF(L1130="","",L1130*M1130)</f>
        <v/>
      </c>
      <c r="P1130" s="26" t="str">
        <f aca="false">IF(L1130="","",N1130-L1130*O1130)</f>
        <v/>
      </c>
      <c r="T1130" s="22" t="str">
        <f aca="false">IF(R1130="","",IF(R1130&lt;=Q1130,"Yes","No"))</f>
        <v/>
      </c>
      <c r="U1130" s="22" t="str">
        <f aca="false">IF(B1130="","",TEXT(YEAR(B1130),"0"))</f>
        <v/>
      </c>
    </row>
    <row r="1131" customFormat="false" ht="15" hidden="false" customHeight="false" outlineLevel="0" collapsed="false">
      <c r="B1131" s="28"/>
      <c r="C1131" s="24" t="str">
        <f aca="false">IF(B1131="","",DATE(YEAR(B1131),MONTH(B1131),1))</f>
        <v/>
      </c>
      <c r="N1131" s="26" t="str">
        <f aca="false">IF(L1131="","",L1131*M1131)</f>
        <v/>
      </c>
      <c r="P1131" s="26" t="str">
        <f aca="false">IF(L1131="","",N1131-L1131*O1131)</f>
        <v/>
      </c>
      <c r="T1131" s="22" t="str">
        <f aca="false">IF(R1131="","",IF(R1131&lt;=Q1131,"Yes","No"))</f>
        <v/>
      </c>
      <c r="U1131" s="22" t="str">
        <f aca="false">IF(B1131="","",TEXT(YEAR(B1131),"0"))</f>
        <v/>
      </c>
    </row>
    <row r="1132" customFormat="false" ht="15" hidden="false" customHeight="false" outlineLevel="0" collapsed="false">
      <c r="B1132" s="28"/>
      <c r="C1132" s="24" t="str">
        <f aca="false">IF(B1132="","",DATE(YEAR(B1132),MONTH(B1132),1))</f>
        <v/>
      </c>
      <c r="N1132" s="26" t="str">
        <f aca="false">IF(L1132="","",L1132*M1132)</f>
        <v/>
      </c>
      <c r="P1132" s="26" t="str">
        <f aca="false">IF(L1132="","",N1132-L1132*O1132)</f>
        <v/>
      </c>
      <c r="T1132" s="22" t="str">
        <f aca="false">IF(R1132="","",IF(R1132&lt;=Q1132,"Yes","No"))</f>
        <v/>
      </c>
      <c r="U1132" s="22" t="str">
        <f aca="false">IF(B1132="","",TEXT(YEAR(B1132),"0"))</f>
        <v/>
      </c>
    </row>
    <row r="1133" customFormat="false" ht="15" hidden="false" customHeight="false" outlineLevel="0" collapsed="false">
      <c r="B1133" s="28"/>
      <c r="C1133" s="24" t="str">
        <f aca="false">IF(B1133="","",DATE(YEAR(B1133),MONTH(B1133),1))</f>
        <v/>
      </c>
      <c r="N1133" s="26" t="str">
        <f aca="false">IF(L1133="","",L1133*M1133)</f>
        <v/>
      </c>
      <c r="P1133" s="26" t="str">
        <f aca="false">IF(L1133="","",N1133-L1133*O1133)</f>
        <v/>
      </c>
      <c r="T1133" s="22" t="str">
        <f aca="false">IF(R1133="","",IF(R1133&lt;=Q1133,"Yes","No"))</f>
        <v/>
      </c>
      <c r="U1133" s="22" t="str">
        <f aca="false">IF(B1133="","",TEXT(YEAR(B1133),"0"))</f>
        <v/>
      </c>
    </row>
    <row r="1134" customFormat="false" ht="15" hidden="false" customHeight="false" outlineLevel="0" collapsed="false">
      <c r="B1134" s="28"/>
      <c r="C1134" s="24" t="str">
        <f aca="false">IF(B1134="","",DATE(YEAR(B1134),MONTH(B1134),1))</f>
        <v/>
      </c>
      <c r="N1134" s="26" t="str">
        <f aca="false">IF(L1134="","",L1134*M1134)</f>
        <v/>
      </c>
      <c r="P1134" s="26" t="str">
        <f aca="false">IF(L1134="","",N1134-L1134*O1134)</f>
        <v/>
      </c>
      <c r="T1134" s="22" t="str">
        <f aca="false">IF(R1134="","",IF(R1134&lt;=Q1134,"Yes","No"))</f>
        <v/>
      </c>
      <c r="U1134" s="22" t="str">
        <f aca="false">IF(B1134="","",TEXT(YEAR(B1134),"0"))</f>
        <v/>
      </c>
    </row>
    <row r="1135" customFormat="false" ht="15" hidden="false" customHeight="false" outlineLevel="0" collapsed="false">
      <c r="B1135" s="28"/>
      <c r="C1135" s="24" t="str">
        <f aca="false">IF(B1135="","",DATE(YEAR(B1135),MONTH(B1135),1))</f>
        <v/>
      </c>
      <c r="N1135" s="26" t="str">
        <f aca="false">IF(L1135="","",L1135*M1135)</f>
        <v/>
      </c>
      <c r="P1135" s="26" t="str">
        <f aca="false">IF(L1135="","",N1135-L1135*O1135)</f>
        <v/>
      </c>
      <c r="T1135" s="22" t="str">
        <f aca="false">IF(R1135="","",IF(R1135&lt;=Q1135,"Yes","No"))</f>
        <v/>
      </c>
      <c r="U1135" s="22" t="str">
        <f aca="false">IF(B1135="","",TEXT(YEAR(B1135),"0"))</f>
        <v/>
      </c>
    </row>
    <row r="1136" customFormat="false" ht="15" hidden="false" customHeight="false" outlineLevel="0" collapsed="false">
      <c r="B1136" s="28"/>
      <c r="C1136" s="24" t="str">
        <f aca="false">IF(B1136="","",DATE(YEAR(B1136),MONTH(B1136),1))</f>
        <v/>
      </c>
      <c r="N1136" s="26" t="str">
        <f aca="false">IF(L1136="","",L1136*M1136)</f>
        <v/>
      </c>
      <c r="P1136" s="26" t="str">
        <f aca="false">IF(L1136="","",N1136-L1136*O1136)</f>
        <v/>
      </c>
      <c r="T1136" s="22" t="str">
        <f aca="false">IF(R1136="","",IF(R1136&lt;=Q1136,"Yes","No"))</f>
        <v/>
      </c>
      <c r="U1136" s="22" t="str">
        <f aca="false">IF(B1136="","",TEXT(YEAR(B1136),"0"))</f>
        <v/>
      </c>
    </row>
    <row r="1137" customFormat="false" ht="15" hidden="false" customHeight="false" outlineLevel="0" collapsed="false">
      <c r="B1137" s="28"/>
      <c r="C1137" s="24" t="str">
        <f aca="false">IF(B1137="","",DATE(YEAR(B1137),MONTH(B1137),1))</f>
        <v/>
      </c>
      <c r="N1137" s="26" t="str">
        <f aca="false">IF(L1137="","",L1137*M1137)</f>
        <v/>
      </c>
      <c r="P1137" s="26" t="str">
        <f aca="false">IF(L1137="","",N1137-L1137*O1137)</f>
        <v/>
      </c>
      <c r="T1137" s="22" t="str">
        <f aca="false">IF(R1137="","",IF(R1137&lt;=Q1137,"Yes","No"))</f>
        <v/>
      </c>
      <c r="U1137" s="22" t="str">
        <f aca="false">IF(B1137="","",TEXT(YEAR(B1137),"0"))</f>
        <v/>
      </c>
    </row>
    <row r="1138" customFormat="false" ht="15" hidden="false" customHeight="false" outlineLevel="0" collapsed="false">
      <c r="B1138" s="28"/>
      <c r="C1138" s="24" t="str">
        <f aca="false">IF(B1138="","",DATE(YEAR(B1138),MONTH(B1138),1))</f>
        <v/>
      </c>
      <c r="N1138" s="26" t="str">
        <f aca="false">IF(L1138="","",L1138*M1138)</f>
        <v/>
      </c>
      <c r="P1138" s="26" t="str">
        <f aca="false">IF(L1138="","",N1138-L1138*O1138)</f>
        <v/>
      </c>
      <c r="T1138" s="22" t="str">
        <f aca="false">IF(R1138="","",IF(R1138&lt;=Q1138,"Yes","No"))</f>
        <v/>
      </c>
      <c r="U1138" s="22" t="str">
        <f aca="false">IF(B1138="","",TEXT(YEAR(B1138),"0"))</f>
        <v/>
      </c>
    </row>
    <row r="1139" customFormat="false" ht="15" hidden="false" customHeight="false" outlineLevel="0" collapsed="false">
      <c r="B1139" s="28"/>
      <c r="C1139" s="24" t="str">
        <f aca="false">IF(B1139="","",DATE(YEAR(B1139),MONTH(B1139),1))</f>
        <v/>
      </c>
      <c r="N1139" s="26" t="str">
        <f aca="false">IF(L1139="","",L1139*M1139)</f>
        <v/>
      </c>
      <c r="P1139" s="26" t="str">
        <f aca="false">IF(L1139="","",N1139-L1139*O1139)</f>
        <v/>
      </c>
      <c r="T1139" s="22" t="str">
        <f aca="false">IF(R1139="","",IF(R1139&lt;=Q1139,"Yes","No"))</f>
        <v/>
      </c>
      <c r="U1139" s="22" t="str">
        <f aca="false">IF(B1139="","",TEXT(YEAR(B1139),"0"))</f>
        <v/>
      </c>
    </row>
    <row r="1140" customFormat="false" ht="15" hidden="false" customHeight="false" outlineLevel="0" collapsed="false">
      <c r="B1140" s="28"/>
      <c r="C1140" s="24" t="str">
        <f aca="false">IF(B1140="","",DATE(YEAR(B1140),MONTH(B1140),1))</f>
        <v/>
      </c>
      <c r="N1140" s="26" t="str">
        <f aca="false">IF(L1140="","",L1140*M1140)</f>
        <v/>
      </c>
      <c r="P1140" s="26" t="str">
        <f aca="false">IF(L1140="","",N1140-L1140*O1140)</f>
        <v/>
      </c>
      <c r="T1140" s="22" t="str">
        <f aca="false">IF(R1140="","",IF(R1140&lt;=Q1140,"Yes","No"))</f>
        <v/>
      </c>
      <c r="U1140" s="22" t="str">
        <f aca="false">IF(B1140="","",TEXT(YEAR(B1140),"0"))</f>
        <v/>
      </c>
    </row>
    <row r="1141" customFormat="false" ht="15" hidden="false" customHeight="false" outlineLevel="0" collapsed="false">
      <c r="B1141" s="28"/>
      <c r="C1141" s="24" t="str">
        <f aca="false">IF(B1141="","",DATE(YEAR(B1141),MONTH(B1141),1))</f>
        <v/>
      </c>
      <c r="N1141" s="26" t="str">
        <f aca="false">IF(L1141="","",L1141*M1141)</f>
        <v/>
      </c>
      <c r="P1141" s="26" t="str">
        <f aca="false">IF(L1141="","",N1141-L1141*O1141)</f>
        <v/>
      </c>
      <c r="T1141" s="22" t="str">
        <f aca="false">IF(R1141="","",IF(R1141&lt;=Q1141,"Yes","No"))</f>
        <v/>
      </c>
      <c r="U1141" s="22" t="str">
        <f aca="false">IF(B1141="","",TEXT(YEAR(B1141),"0"))</f>
        <v/>
      </c>
    </row>
    <row r="1142" customFormat="false" ht="15" hidden="false" customHeight="false" outlineLevel="0" collapsed="false">
      <c r="B1142" s="28"/>
      <c r="C1142" s="24" t="str">
        <f aca="false">IF(B1142="","",DATE(YEAR(B1142),MONTH(B1142),1))</f>
        <v/>
      </c>
      <c r="N1142" s="26" t="str">
        <f aca="false">IF(L1142="","",L1142*M1142)</f>
        <v/>
      </c>
      <c r="P1142" s="26" t="str">
        <f aca="false">IF(L1142="","",N1142-L1142*O1142)</f>
        <v/>
      </c>
      <c r="T1142" s="22" t="str">
        <f aca="false">IF(R1142="","",IF(R1142&lt;=Q1142,"Yes","No"))</f>
        <v/>
      </c>
      <c r="U1142" s="22" t="str">
        <f aca="false">IF(B1142="","",TEXT(YEAR(B1142),"0"))</f>
        <v/>
      </c>
    </row>
    <row r="1143" customFormat="false" ht="15" hidden="false" customHeight="false" outlineLevel="0" collapsed="false">
      <c r="B1143" s="28"/>
      <c r="C1143" s="24" t="str">
        <f aca="false">IF(B1143="","",DATE(YEAR(B1143),MONTH(B1143),1))</f>
        <v/>
      </c>
      <c r="N1143" s="26" t="str">
        <f aca="false">IF(L1143="","",L1143*M1143)</f>
        <v/>
      </c>
      <c r="P1143" s="26" t="str">
        <f aca="false">IF(L1143="","",N1143-L1143*O1143)</f>
        <v/>
      </c>
      <c r="T1143" s="22" t="str">
        <f aca="false">IF(R1143="","",IF(R1143&lt;=Q1143,"Yes","No"))</f>
        <v/>
      </c>
      <c r="U1143" s="22" t="str">
        <f aca="false">IF(B1143="","",TEXT(YEAR(B1143),"0"))</f>
        <v/>
      </c>
    </row>
    <row r="1144" customFormat="false" ht="15" hidden="false" customHeight="false" outlineLevel="0" collapsed="false">
      <c r="B1144" s="28"/>
      <c r="C1144" s="24" t="str">
        <f aca="false">IF(B1144="","",DATE(YEAR(B1144),MONTH(B1144),1))</f>
        <v/>
      </c>
      <c r="N1144" s="26" t="str">
        <f aca="false">IF(L1144="","",L1144*M1144)</f>
        <v/>
      </c>
      <c r="P1144" s="26" t="str">
        <f aca="false">IF(L1144="","",N1144-L1144*O1144)</f>
        <v/>
      </c>
      <c r="T1144" s="22" t="str">
        <f aca="false">IF(R1144="","",IF(R1144&lt;=Q1144,"Yes","No"))</f>
        <v/>
      </c>
      <c r="U1144" s="22" t="str">
        <f aca="false">IF(B1144="","",TEXT(YEAR(B1144),"0"))</f>
        <v/>
      </c>
    </row>
    <row r="1145" customFormat="false" ht="15" hidden="false" customHeight="false" outlineLevel="0" collapsed="false">
      <c r="B1145" s="28"/>
      <c r="C1145" s="24" t="str">
        <f aca="false">IF(B1145="","",DATE(YEAR(B1145),MONTH(B1145),1))</f>
        <v/>
      </c>
      <c r="N1145" s="26" t="str">
        <f aca="false">IF(L1145="","",L1145*M1145)</f>
        <v/>
      </c>
      <c r="P1145" s="26" t="str">
        <f aca="false">IF(L1145="","",N1145-L1145*O1145)</f>
        <v/>
      </c>
      <c r="T1145" s="22" t="str">
        <f aca="false">IF(R1145="","",IF(R1145&lt;=Q1145,"Yes","No"))</f>
        <v/>
      </c>
      <c r="U1145" s="22" t="str">
        <f aca="false">IF(B1145="","",TEXT(YEAR(B1145),"0"))</f>
        <v/>
      </c>
    </row>
    <row r="1146" customFormat="false" ht="15" hidden="false" customHeight="false" outlineLevel="0" collapsed="false">
      <c r="B1146" s="28"/>
      <c r="C1146" s="24" t="str">
        <f aca="false">IF(B1146="","",DATE(YEAR(B1146),MONTH(B1146),1))</f>
        <v/>
      </c>
      <c r="N1146" s="26" t="str">
        <f aca="false">IF(L1146="","",L1146*M1146)</f>
        <v/>
      </c>
      <c r="P1146" s="26" t="str">
        <f aca="false">IF(L1146="","",N1146-L1146*O1146)</f>
        <v/>
      </c>
      <c r="T1146" s="22" t="str">
        <f aca="false">IF(R1146="","",IF(R1146&lt;=Q1146,"Yes","No"))</f>
        <v/>
      </c>
      <c r="U1146" s="22" t="str">
        <f aca="false">IF(B1146="","",TEXT(YEAR(B1146),"0"))</f>
        <v/>
      </c>
    </row>
    <row r="1147" customFormat="false" ht="15" hidden="false" customHeight="false" outlineLevel="0" collapsed="false">
      <c r="B1147" s="28"/>
      <c r="C1147" s="24" t="str">
        <f aca="false">IF(B1147="","",DATE(YEAR(B1147),MONTH(B1147),1))</f>
        <v/>
      </c>
      <c r="N1147" s="26" t="str">
        <f aca="false">IF(L1147="","",L1147*M1147)</f>
        <v/>
      </c>
      <c r="P1147" s="26" t="str">
        <f aca="false">IF(L1147="","",N1147-L1147*O1147)</f>
        <v/>
      </c>
      <c r="T1147" s="22" t="str">
        <f aca="false">IF(R1147="","",IF(R1147&lt;=Q1147,"Yes","No"))</f>
        <v/>
      </c>
      <c r="U1147" s="22" t="str">
        <f aca="false">IF(B1147="","",TEXT(YEAR(B1147),"0"))</f>
        <v/>
      </c>
    </row>
    <row r="1148" customFormat="false" ht="15" hidden="false" customHeight="false" outlineLevel="0" collapsed="false">
      <c r="B1148" s="28"/>
      <c r="C1148" s="24" t="str">
        <f aca="false">IF(B1148="","",DATE(YEAR(B1148),MONTH(B1148),1))</f>
        <v/>
      </c>
      <c r="N1148" s="26" t="str">
        <f aca="false">IF(L1148="","",L1148*M1148)</f>
        <v/>
      </c>
      <c r="P1148" s="26" t="str">
        <f aca="false">IF(L1148="","",N1148-L1148*O1148)</f>
        <v/>
      </c>
      <c r="T1148" s="22" t="str">
        <f aca="false">IF(R1148="","",IF(R1148&lt;=Q1148,"Yes","No"))</f>
        <v/>
      </c>
      <c r="U1148" s="22" t="str">
        <f aca="false">IF(B1148="","",TEXT(YEAR(B1148),"0"))</f>
        <v/>
      </c>
    </row>
    <row r="1149" customFormat="false" ht="15" hidden="false" customHeight="false" outlineLevel="0" collapsed="false">
      <c r="B1149" s="28"/>
      <c r="C1149" s="24" t="str">
        <f aca="false">IF(B1149="","",DATE(YEAR(B1149),MONTH(B1149),1))</f>
        <v/>
      </c>
      <c r="N1149" s="26" t="str">
        <f aca="false">IF(L1149="","",L1149*M1149)</f>
        <v/>
      </c>
      <c r="P1149" s="26" t="str">
        <f aca="false">IF(L1149="","",N1149-L1149*O1149)</f>
        <v/>
      </c>
      <c r="T1149" s="22" t="str">
        <f aca="false">IF(R1149="","",IF(R1149&lt;=Q1149,"Yes","No"))</f>
        <v/>
      </c>
      <c r="U1149" s="22" t="str">
        <f aca="false">IF(B1149="","",TEXT(YEAR(B1149),"0"))</f>
        <v/>
      </c>
    </row>
    <row r="1150" customFormat="false" ht="15" hidden="false" customHeight="false" outlineLevel="0" collapsed="false">
      <c r="B1150" s="28"/>
      <c r="C1150" s="24" t="str">
        <f aca="false">IF(B1150="","",DATE(YEAR(B1150),MONTH(B1150),1))</f>
        <v/>
      </c>
      <c r="N1150" s="26" t="str">
        <f aca="false">IF(L1150="","",L1150*M1150)</f>
        <v/>
      </c>
      <c r="P1150" s="26" t="str">
        <f aca="false">IF(L1150="","",N1150-L1150*O1150)</f>
        <v/>
      </c>
      <c r="T1150" s="22" t="str">
        <f aca="false">IF(R1150="","",IF(R1150&lt;=Q1150,"Yes","No"))</f>
        <v/>
      </c>
      <c r="U1150" s="22" t="str">
        <f aca="false">IF(B1150="","",TEXT(YEAR(B1150),"0"))</f>
        <v/>
      </c>
    </row>
    <row r="1151" customFormat="false" ht="15" hidden="false" customHeight="false" outlineLevel="0" collapsed="false">
      <c r="B1151" s="28"/>
      <c r="C1151" s="24" t="str">
        <f aca="false">IF(B1151="","",DATE(YEAR(B1151),MONTH(B1151),1))</f>
        <v/>
      </c>
      <c r="N1151" s="26" t="str">
        <f aca="false">IF(L1151="","",L1151*M1151)</f>
        <v/>
      </c>
      <c r="P1151" s="26" t="str">
        <f aca="false">IF(L1151="","",N1151-L1151*O1151)</f>
        <v/>
      </c>
      <c r="T1151" s="22" t="str">
        <f aca="false">IF(R1151="","",IF(R1151&lt;=Q1151,"Yes","No"))</f>
        <v/>
      </c>
      <c r="U1151" s="22" t="str">
        <f aca="false">IF(B1151="","",TEXT(YEAR(B1151),"0"))</f>
        <v/>
      </c>
    </row>
    <row r="1152" customFormat="false" ht="15" hidden="false" customHeight="false" outlineLevel="0" collapsed="false">
      <c r="B1152" s="28"/>
      <c r="C1152" s="24" t="str">
        <f aca="false">IF(B1152="","",DATE(YEAR(B1152),MONTH(B1152),1))</f>
        <v/>
      </c>
      <c r="N1152" s="26" t="str">
        <f aca="false">IF(L1152="","",L1152*M1152)</f>
        <v/>
      </c>
      <c r="P1152" s="26" t="str">
        <f aca="false">IF(L1152="","",N1152-L1152*O1152)</f>
        <v/>
      </c>
      <c r="T1152" s="22" t="str">
        <f aca="false">IF(R1152="","",IF(R1152&lt;=Q1152,"Yes","No"))</f>
        <v/>
      </c>
      <c r="U1152" s="22" t="str">
        <f aca="false">IF(B1152="","",TEXT(YEAR(B1152),"0"))</f>
        <v/>
      </c>
    </row>
    <row r="1153" customFormat="false" ht="15" hidden="false" customHeight="false" outlineLevel="0" collapsed="false">
      <c r="B1153" s="28"/>
      <c r="C1153" s="24" t="str">
        <f aca="false">IF(B1153="","",DATE(YEAR(B1153),MONTH(B1153),1))</f>
        <v/>
      </c>
      <c r="N1153" s="26" t="str">
        <f aca="false">IF(L1153="","",L1153*M1153)</f>
        <v/>
      </c>
      <c r="P1153" s="26" t="str">
        <f aca="false">IF(L1153="","",N1153-L1153*O1153)</f>
        <v/>
      </c>
      <c r="T1153" s="22" t="str">
        <f aca="false">IF(R1153="","",IF(R1153&lt;=Q1153,"Yes","No"))</f>
        <v/>
      </c>
      <c r="U1153" s="22" t="str">
        <f aca="false">IF(B1153="","",TEXT(YEAR(B1153),"0"))</f>
        <v/>
      </c>
    </row>
    <row r="1154" customFormat="false" ht="15" hidden="false" customHeight="false" outlineLevel="0" collapsed="false">
      <c r="B1154" s="28"/>
      <c r="C1154" s="24" t="str">
        <f aca="false">IF(B1154="","",DATE(YEAR(B1154),MONTH(B1154),1))</f>
        <v/>
      </c>
      <c r="N1154" s="26" t="str">
        <f aca="false">IF(L1154="","",L1154*M1154)</f>
        <v/>
      </c>
      <c r="P1154" s="26" t="str">
        <f aca="false">IF(L1154="","",N1154-L1154*O1154)</f>
        <v/>
      </c>
      <c r="T1154" s="22" t="str">
        <f aca="false">IF(R1154="","",IF(R1154&lt;=Q1154,"Yes","No"))</f>
        <v/>
      </c>
      <c r="U1154" s="22" t="str">
        <f aca="false">IF(B1154="","",TEXT(YEAR(B1154),"0"))</f>
        <v/>
      </c>
    </row>
    <row r="1155" customFormat="false" ht="15" hidden="false" customHeight="false" outlineLevel="0" collapsed="false">
      <c r="B1155" s="28"/>
      <c r="C1155" s="24" t="str">
        <f aca="false">IF(B1155="","",DATE(YEAR(B1155),MONTH(B1155),1))</f>
        <v/>
      </c>
      <c r="N1155" s="26" t="str">
        <f aca="false">IF(L1155="","",L1155*M1155)</f>
        <v/>
      </c>
      <c r="P1155" s="26" t="str">
        <f aca="false">IF(L1155="","",N1155-L1155*O1155)</f>
        <v/>
      </c>
      <c r="T1155" s="22" t="str">
        <f aca="false">IF(R1155="","",IF(R1155&lt;=Q1155,"Yes","No"))</f>
        <v/>
      </c>
      <c r="U1155" s="22" t="str">
        <f aca="false">IF(B1155="","",TEXT(YEAR(B1155),"0"))</f>
        <v/>
      </c>
    </row>
    <row r="1156" customFormat="false" ht="15" hidden="false" customHeight="false" outlineLevel="0" collapsed="false">
      <c r="B1156" s="28"/>
      <c r="C1156" s="24" t="str">
        <f aca="false">IF(B1156="","",DATE(YEAR(B1156),MONTH(B1156),1))</f>
        <v/>
      </c>
      <c r="N1156" s="26" t="str">
        <f aca="false">IF(L1156="","",L1156*M1156)</f>
        <v/>
      </c>
      <c r="P1156" s="26" t="str">
        <f aca="false">IF(L1156="","",N1156-L1156*O1156)</f>
        <v/>
      </c>
      <c r="T1156" s="22" t="str">
        <f aca="false">IF(R1156="","",IF(R1156&lt;=Q1156,"Yes","No"))</f>
        <v/>
      </c>
      <c r="U1156" s="22" t="str">
        <f aca="false">IF(B1156="","",TEXT(YEAR(B1156),"0"))</f>
        <v/>
      </c>
    </row>
    <row r="1157" customFormat="false" ht="15" hidden="false" customHeight="false" outlineLevel="0" collapsed="false">
      <c r="B1157" s="28"/>
      <c r="C1157" s="24" t="str">
        <f aca="false">IF(B1157="","",DATE(YEAR(B1157),MONTH(B1157),1))</f>
        <v/>
      </c>
      <c r="N1157" s="26" t="str">
        <f aca="false">IF(L1157="","",L1157*M1157)</f>
        <v/>
      </c>
      <c r="P1157" s="26" t="str">
        <f aca="false">IF(L1157="","",N1157-L1157*O1157)</f>
        <v/>
      </c>
      <c r="T1157" s="22" t="str">
        <f aca="false">IF(R1157="","",IF(R1157&lt;=Q1157,"Yes","No"))</f>
        <v/>
      </c>
      <c r="U1157" s="22" t="str">
        <f aca="false">IF(B1157="","",TEXT(YEAR(B1157),"0"))</f>
        <v/>
      </c>
    </row>
    <row r="1158" customFormat="false" ht="15" hidden="false" customHeight="false" outlineLevel="0" collapsed="false">
      <c r="B1158" s="28"/>
      <c r="C1158" s="24" t="str">
        <f aca="false">IF(B1158="","",DATE(YEAR(B1158),MONTH(B1158),1))</f>
        <v/>
      </c>
      <c r="N1158" s="26" t="str">
        <f aca="false">IF(L1158="","",L1158*M1158)</f>
        <v/>
      </c>
      <c r="P1158" s="26" t="str">
        <f aca="false">IF(L1158="","",N1158-L1158*O1158)</f>
        <v/>
      </c>
      <c r="T1158" s="22" t="str">
        <f aca="false">IF(R1158="","",IF(R1158&lt;=Q1158,"Yes","No"))</f>
        <v/>
      </c>
      <c r="U1158" s="22" t="str">
        <f aca="false">IF(B1158="","",TEXT(YEAR(B1158),"0"))</f>
        <v/>
      </c>
    </row>
    <row r="1159" customFormat="false" ht="15" hidden="false" customHeight="false" outlineLevel="0" collapsed="false">
      <c r="B1159" s="28"/>
      <c r="C1159" s="24" t="str">
        <f aca="false">IF(B1159="","",DATE(YEAR(B1159),MONTH(B1159),1))</f>
        <v/>
      </c>
      <c r="N1159" s="26" t="str">
        <f aca="false">IF(L1159="","",L1159*M1159)</f>
        <v/>
      </c>
      <c r="P1159" s="26" t="str">
        <f aca="false">IF(L1159="","",N1159-L1159*O1159)</f>
        <v/>
      </c>
      <c r="T1159" s="22" t="str">
        <f aca="false">IF(R1159="","",IF(R1159&lt;=Q1159,"Yes","No"))</f>
        <v/>
      </c>
      <c r="U1159" s="22" t="str">
        <f aca="false">IF(B1159="","",TEXT(YEAR(B1159),"0"))</f>
        <v/>
      </c>
    </row>
    <row r="1160" customFormat="false" ht="15" hidden="false" customHeight="false" outlineLevel="0" collapsed="false">
      <c r="B1160" s="28"/>
      <c r="C1160" s="24" t="str">
        <f aca="false">IF(B1160="","",DATE(YEAR(B1160),MONTH(B1160),1))</f>
        <v/>
      </c>
      <c r="N1160" s="26" t="str">
        <f aca="false">IF(L1160="","",L1160*M1160)</f>
        <v/>
      </c>
      <c r="P1160" s="26" t="str">
        <f aca="false">IF(L1160="","",N1160-L1160*O1160)</f>
        <v/>
      </c>
      <c r="T1160" s="22" t="str">
        <f aca="false">IF(R1160="","",IF(R1160&lt;=Q1160,"Yes","No"))</f>
        <v/>
      </c>
      <c r="U1160" s="22" t="str">
        <f aca="false">IF(B1160="","",TEXT(YEAR(B1160),"0"))</f>
        <v/>
      </c>
    </row>
    <row r="1161" customFormat="false" ht="15" hidden="false" customHeight="false" outlineLevel="0" collapsed="false">
      <c r="B1161" s="28"/>
      <c r="C1161" s="24" t="str">
        <f aca="false">IF(B1161="","",DATE(YEAR(B1161),MONTH(B1161),1))</f>
        <v/>
      </c>
      <c r="N1161" s="26" t="str">
        <f aca="false">IF(L1161="","",L1161*M1161)</f>
        <v/>
      </c>
      <c r="P1161" s="26" t="str">
        <f aca="false">IF(L1161="","",N1161-L1161*O1161)</f>
        <v/>
      </c>
      <c r="T1161" s="22" t="str">
        <f aca="false">IF(R1161="","",IF(R1161&lt;=Q1161,"Yes","No"))</f>
        <v/>
      </c>
      <c r="U1161" s="22" t="str">
        <f aca="false">IF(B1161="","",TEXT(YEAR(B1161),"0"))</f>
        <v/>
      </c>
    </row>
    <row r="1162" customFormat="false" ht="15" hidden="false" customHeight="false" outlineLevel="0" collapsed="false">
      <c r="B1162" s="28"/>
      <c r="C1162" s="24" t="str">
        <f aca="false">IF(B1162="","",DATE(YEAR(B1162),MONTH(B1162),1))</f>
        <v/>
      </c>
      <c r="N1162" s="26" t="str">
        <f aca="false">IF(L1162="","",L1162*M1162)</f>
        <v/>
      </c>
      <c r="P1162" s="26" t="str">
        <f aca="false">IF(L1162="","",N1162-L1162*O1162)</f>
        <v/>
      </c>
      <c r="T1162" s="22" t="str">
        <f aca="false">IF(R1162="","",IF(R1162&lt;=Q1162,"Yes","No"))</f>
        <v/>
      </c>
      <c r="U1162" s="22" t="str">
        <f aca="false">IF(B1162="","",TEXT(YEAR(B1162),"0"))</f>
        <v/>
      </c>
    </row>
    <row r="1163" customFormat="false" ht="15" hidden="false" customHeight="false" outlineLevel="0" collapsed="false">
      <c r="B1163" s="28"/>
      <c r="C1163" s="24" t="str">
        <f aca="false">IF(B1163="","",DATE(YEAR(B1163),MONTH(B1163),1))</f>
        <v/>
      </c>
      <c r="N1163" s="26" t="str">
        <f aca="false">IF(L1163="","",L1163*M1163)</f>
        <v/>
      </c>
      <c r="P1163" s="26" t="str">
        <f aca="false">IF(L1163="","",N1163-L1163*O1163)</f>
        <v/>
      </c>
      <c r="T1163" s="22" t="str">
        <f aca="false">IF(R1163="","",IF(R1163&lt;=Q1163,"Yes","No"))</f>
        <v/>
      </c>
      <c r="U1163" s="22" t="str">
        <f aca="false">IF(B1163="","",TEXT(YEAR(B1163),"0"))</f>
        <v/>
      </c>
    </row>
    <row r="1164" customFormat="false" ht="15" hidden="false" customHeight="false" outlineLevel="0" collapsed="false">
      <c r="B1164" s="28"/>
      <c r="C1164" s="24" t="str">
        <f aca="false">IF(B1164="","",DATE(YEAR(B1164),MONTH(B1164),1))</f>
        <v/>
      </c>
      <c r="N1164" s="26" t="str">
        <f aca="false">IF(L1164="","",L1164*M1164)</f>
        <v/>
      </c>
      <c r="P1164" s="26" t="str">
        <f aca="false">IF(L1164="","",N1164-L1164*O1164)</f>
        <v/>
      </c>
      <c r="T1164" s="22" t="str">
        <f aca="false">IF(R1164="","",IF(R1164&lt;=Q1164,"Yes","No"))</f>
        <v/>
      </c>
      <c r="U1164" s="22" t="str">
        <f aca="false">IF(B1164="","",TEXT(YEAR(B1164),"0"))</f>
        <v/>
      </c>
    </row>
    <row r="1165" customFormat="false" ht="15" hidden="false" customHeight="false" outlineLevel="0" collapsed="false">
      <c r="B1165" s="28"/>
      <c r="C1165" s="24" t="str">
        <f aca="false">IF(B1165="","",DATE(YEAR(B1165),MONTH(B1165),1))</f>
        <v/>
      </c>
      <c r="N1165" s="26" t="str">
        <f aca="false">IF(L1165="","",L1165*M1165)</f>
        <v/>
      </c>
      <c r="P1165" s="26" t="str">
        <f aca="false">IF(L1165="","",N1165-L1165*O1165)</f>
        <v/>
      </c>
      <c r="T1165" s="22" t="str">
        <f aca="false">IF(R1165="","",IF(R1165&lt;=Q1165,"Yes","No"))</f>
        <v/>
      </c>
      <c r="U1165" s="22" t="str">
        <f aca="false">IF(B1165="","",TEXT(YEAR(B1165),"0"))</f>
        <v/>
      </c>
    </row>
    <row r="1166" customFormat="false" ht="15" hidden="false" customHeight="false" outlineLevel="0" collapsed="false">
      <c r="B1166" s="28"/>
      <c r="C1166" s="24" t="str">
        <f aca="false">IF(B1166="","",DATE(YEAR(B1166),MONTH(B1166),1))</f>
        <v/>
      </c>
      <c r="N1166" s="26" t="str">
        <f aca="false">IF(L1166="","",L1166*M1166)</f>
        <v/>
      </c>
      <c r="P1166" s="26" t="str">
        <f aca="false">IF(L1166="","",N1166-L1166*O1166)</f>
        <v/>
      </c>
      <c r="T1166" s="22" t="str">
        <f aca="false">IF(R1166="","",IF(R1166&lt;=Q1166,"Yes","No"))</f>
        <v/>
      </c>
      <c r="U1166" s="22" t="str">
        <f aca="false">IF(B1166="","",TEXT(YEAR(B1166),"0"))</f>
        <v/>
      </c>
    </row>
    <row r="1167" customFormat="false" ht="15" hidden="false" customHeight="false" outlineLevel="0" collapsed="false">
      <c r="B1167" s="28"/>
      <c r="C1167" s="24" t="str">
        <f aca="false">IF(B1167="","",DATE(YEAR(B1167),MONTH(B1167),1))</f>
        <v/>
      </c>
      <c r="N1167" s="26" t="str">
        <f aca="false">IF(L1167="","",L1167*M1167)</f>
        <v/>
      </c>
      <c r="P1167" s="26" t="str">
        <f aca="false">IF(L1167="","",N1167-L1167*O1167)</f>
        <v/>
      </c>
      <c r="T1167" s="22" t="str">
        <f aca="false">IF(R1167="","",IF(R1167&lt;=Q1167,"Yes","No"))</f>
        <v/>
      </c>
      <c r="U1167" s="22" t="str">
        <f aca="false">IF(B1167="","",TEXT(YEAR(B1167),"0"))</f>
        <v/>
      </c>
    </row>
    <row r="1168" customFormat="false" ht="15" hidden="false" customHeight="false" outlineLevel="0" collapsed="false">
      <c r="B1168" s="28"/>
      <c r="C1168" s="24" t="str">
        <f aca="false">IF(B1168="","",DATE(YEAR(B1168),MONTH(B1168),1))</f>
        <v/>
      </c>
      <c r="N1168" s="26" t="str">
        <f aca="false">IF(L1168="","",L1168*M1168)</f>
        <v/>
      </c>
      <c r="P1168" s="26" t="str">
        <f aca="false">IF(L1168="","",N1168-L1168*O1168)</f>
        <v/>
      </c>
      <c r="T1168" s="22" t="str">
        <f aca="false">IF(R1168="","",IF(R1168&lt;=Q1168,"Yes","No"))</f>
        <v/>
      </c>
      <c r="U1168" s="22" t="str">
        <f aca="false">IF(B1168="","",TEXT(YEAR(B1168),"0"))</f>
        <v/>
      </c>
    </row>
    <row r="1169" customFormat="false" ht="15" hidden="false" customHeight="false" outlineLevel="0" collapsed="false">
      <c r="B1169" s="28"/>
      <c r="C1169" s="24" t="str">
        <f aca="false">IF(B1169="","",DATE(YEAR(B1169),MONTH(B1169),1))</f>
        <v/>
      </c>
      <c r="N1169" s="26" t="str">
        <f aca="false">IF(L1169="","",L1169*M1169)</f>
        <v/>
      </c>
      <c r="P1169" s="26" t="str">
        <f aca="false">IF(L1169="","",N1169-L1169*O1169)</f>
        <v/>
      </c>
      <c r="T1169" s="22" t="str">
        <f aca="false">IF(R1169="","",IF(R1169&lt;=Q1169,"Yes","No"))</f>
        <v/>
      </c>
      <c r="U1169" s="22" t="str">
        <f aca="false">IF(B1169="","",TEXT(YEAR(B1169),"0"))</f>
        <v/>
      </c>
    </row>
    <row r="1170" customFormat="false" ht="15" hidden="false" customHeight="false" outlineLevel="0" collapsed="false">
      <c r="B1170" s="28"/>
      <c r="C1170" s="24" t="str">
        <f aca="false">IF(B1170="","",DATE(YEAR(B1170),MONTH(B1170),1))</f>
        <v/>
      </c>
      <c r="N1170" s="26" t="str">
        <f aca="false">IF(L1170="","",L1170*M1170)</f>
        <v/>
      </c>
      <c r="P1170" s="26" t="str">
        <f aca="false">IF(L1170="","",N1170-L1170*O1170)</f>
        <v/>
      </c>
      <c r="T1170" s="22" t="str">
        <f aca="false">IF(R1170="","",IF(R1170&lt;=Q1170,"Yes","No"))</f>
        <v/>
      </c>
      <c r="U1170" s="22" t="str">
        <f aca="false">IF(B1170="","",TEXT(YEAR(B1170),"0"))</f>
        <v/>
      </c>
    </row>
    <row r="1171" customFormat="false" ht="15" hidden="false" customHeight="false" outlineLevel="0" collapsed="false">
      <c r="B1171" s="28"/>
      <c r="C1171" s="24" t="str">
        <f aca="false">IF(B1171="","",DATE(YEAR(B1171),MONTH(B1171),1))</f>
        <v/>
      </c>
      <c r="N1171" s="26" t="str">
        <f aca="false">IF(L1171="","",L1171*M1171)</f>
        <v/>
      </c>
      <c r="P1171" s="26" t="str">
        <f aca="false">IF(L1171="","",N1171-L1171*O1171)</f>
        <v/>
      </c>
      <c r="T1171" s="22" t="str">
        <f aca="false">IF(R1171="","",IF(R1171&lt;=Q1171,"Yes","No"))</f>
        <v/>
      </c>
      <c r="U1171" s="22" t="str">
        <f aca="false">IF(B1171="","",TEXT(YEAR(B1171),"0"))</f>
        <v/>
      </c>
    </row>
    <row r="1172" customFormat="false" ht="15" hidden="false" customHeight="false" outlineLevel="0" collapsed="false">
      <c r="B1172" s="28"/>
      <c r="C1172" s="24" t="str">
        <f aca="false">IF(B1172="","",DATE(YEAR(B1172),MONTH(B1172),1))</f>
        <v/>
      </c>
      <c r="N1172" s="26" t="str">
        <f aca="false">IF(L1172="","",L1172*M1172)</f>
        <v/>
      </c>
      <c r="P1172" s="26" t="str">
        <f aca="false">IF(L1172="","",N1172-L1172*O1172)</f>
        <v/>
      </c>
      <c r="T1172" s="22" t="str">
        <f aca="false">IF(R1172="","",IF(R1172&lt;=Q1172,"Yes","No"))</f>
        <v/>
      </c>
      <c r="U1172" s="22" t="str">
        <f aca="false">IF(B1172="","",TEXT(YEAR(B1172),"0"))</f>
        <v/>
      </c>
    </row>
    <row r="1173" customFormat="false" ht="15" hidden="false" customHeight="false" outlineLevel="0" collapsed="false">
      <c r="B1173" s="28"/>
      <c r="C1173" s="24" t="str">
        <f aca="false">IF(B1173="","",DATE(YEAR(B1173),MONTH(B1173),1))</f>
        <v/>
      </c>
      <c r="N1173" s="26" t="str">
        <f aca="false">IF(L1173="","",L1173*M1173)</f>
        <v/>
      </c>
      <c r="P1173" s="26" t="str">
        <f aca="false">IF(L1173="","",N1173-L1173*O1173)</f>
        <v/>
      </c>
      <c r="T1173" s="22" t="str">
        <f aca="false">IF(R1173="","",IF(R1173&lt;=Q1173,"Yes","No"))</f>
        <v/>
      </c>
      <c r="U1173" s="22" t="str">
        <f aca="false">IF(B1173="","",TEXT(YEAR(B1173),"0"))</f>
        <v/>
      </c>
    </row>
    <row r="1174" customFormat="false" ht="15" hidden="false" customHeight="false" outlineLevel="0" collapsed="false">
      <c r="B1174" s="28"/>
      <c r="C1174" s="24" t="str">
        <f aca="false">IF(B1174="","",DATE(YEAR(B1174),MONTH(B1174),1))</f>
        <v/>
      </c>
      <c r="N1174" s="26" t="str">
        <f aca="false">IF(L1174="","",L1174*M1174)</f>
        <v/>
      </c>
      <c r="P1174" s="26" t="str">
        <f aca="false">IF(L1174="","",N1174-L1174*O1174)</f>
        <v/>
      </c>
      <c r="T1174" s="22" t="str">
        <f aca="false">IF(R1174="","",IF(R1174&lt;=Q1174,"Yes","No"))</f>
        <v/>
      </c>
      <c r="U1174" s="22" t="str">
        <f aca="false">IF(B1174="","",TEXT(YEAR(B1174),"0"))</f>
        <v/>
      </c>
    </row>
    <row r="1175" customFormat="false" ht="15" hidden="false" customHeight="false" outlineLevel="0" collapsed="false">
      <c r="B1175" s="28"/>
      <c r="C1175" s="24" t="str">
        <f aca="false">IF(B1175="","",DATE(YEAR(B1175),MONTH(B1175),1))</f>
        <v/>
      </c>
      <c r="N1175" s="26" t="str">
        <f aca="false">IF(L1175="","",L1175*M1175)</f>
        <v/>
      </c>
      <c r="P1175" s="26" t="str">
        <f aca="false">IF(L1175="","",N1175-L1175*O1175)</f>
        <v/>
      </c>
      <c r="T1175" s="22" t="str">
        <f aca="false">IF(R1175="","",IF(R1175&lt;=Q1175,"Yes","No"))</f>
        <v/>
      </c>
      <c r="U1175" s="22" t="str">
        <f aca="false">IF(B1175="","",TEXT(YEAR(B1175),"0"))</f>
        <v/>
      </c>
    </row>
    <row r="1176" customFormat="false" ht="15" hidden="false" customHeight="false" outlineLevel="0" collapsed="false">
      <c r="B1176" s="28"/>
      <c r="C1176" s="24" t="str">
        <f aca="false">IF(B1176="","",DATE(YEAR(B1176),MONTH(B1176),1))</f>
        <v/>
      </c>
      <c r="N1176" s="26" t="str">
        <f aca="false">IF(L1176="","",L1176*M1176)</f>
        <v/>
      </c>
      <c r="P1176" s="26" t="str">
        <f aca="false">IF(L1176="","",N1176-L1176*O1176)</f>
        <v/>
      </c>
      <c r="T1176" s="22" t="str">
        <f aca="false">IF(R1176="","",IF(R1176&lt;=Q1176,"Yes","No"))</f>
        <v/>
      </c>
      <c r="U1176" s="22" t="str">
        <f aca="false">IF(B1176="","",TEXT(YEAR(B1176),"0"))</f>
        <v/>
      </c>
    </row>
    <row r="1177" customFormat="false" ht="15" hidden="false" customHeight="false" outlineLevel="0" collapsed="false">
      <c r="B1177" s="28"/>
      <c r="C1177" s="24" t="str">
        <f aca="false">IF(B1177="","",DATE(YEAR(B1177),MONTH(B1177),1))</f>
        <v/>
      </c>
      <c r="N1177" s="26" t="str">
        <f aca="false">IF(L1177="","",L1177*M1177)</f>
        <v/>
      </c>
      <c r="P1177" s="26" t="str">
        <f aca="false">IF(L1177="","",N1177-L1177*O1177)</f>
        <v/>
      </c>
      <c r="T1177" s="22" t="str">
        <f aca="false">IF(R1177="","",IF(R1177&lt;=Q1177,"Yes","No"))</f>
        <v/>
      </c>
      <c r="U1177" s="22" t="str">
        <f aca="false">IF(B1177="","",TEXT(YEAR(B1177),"0"))</f>
        <v/>
      </c>
    </row>
    <row r="1178" customFormat="false" ht="15" hidden="false" customHeight="false" outlineLevel="0" collapsed="false">
      <c r="B1178" s="28"/>
      <c r="C1178" s="24" t="str">
        <f aca="false">IF(B1178="","",DATE(YEAR(B1178),MONTH(B1178),1))</f>
        <v/>
      </c>
      <c r="N1178" s="26" t="str">
        <f aca="false">IF(L1178="","",L1178*M1178)</f>
        <v/>
      </c>
      <c r="P1178" s="26" t="str">
        <f aca="false">IF(L1178="","",N1178-L1178*O1178)</f>
        <v/>
      </c>
      <c r="T1178" s="22" t="str">
        <f aca="false">IF(R1178="","",IF(R1178&lt;=Q1178,"Yes","No"))</f>
        <v/>
      </c>
      <c r="U1178" s="22" t="str">
        <f aca="false">IF(B1178="","",TEXT(YEAR(B1178),"0"))</f>
        <v/>
      </c>
    </row>
    <row r="1179" customFormat="false" ht="15" hidden="false" customHeight="false" outlineLevel="0" collapsed="false">
      <c r="B1179" s="28"/>
      <c r="C1179" s="24" t="str">
        <f aca="false">IF(B1179="","",DATE(YEAR(B1179),MONTH(B1179),1))</f>
        <v/>
      </c>
      <c r="N1179" s="26" t="str">
        <f aca="false">IF(L1179="","",L1179*M1179)</f>
        <v/>
      </c>
      <c r="P1179" s="26" t="str">
        <f aca="false">IF(L1179="","",N1179-L1179*O1179)</f>
        <v/>
      </c>
      <c r="T1179" s="22" t="str">
        <f aca="false">IF(R1179="","",IF(R1179&lt;=Q1179,"Yes","No"))</f>
        <v/>
      </c>
      <c r="U1179" s="22" t="str">
        <f aca="false">IF(B1179="","",TEXT(YEAR(B1179),"0"))</f>
        <v/>
      </c>
    </row>
    <row r="1180" customFormat="false" ht="15" hidden="false" customHeight="false" outlineLevel="0" collapsed="false">
      <c r="B1180" s="28"/>
      <c r="C1180" s="24" t="str">
        <f aca="false">IF(B1180="","",DATE(YEAR(B1180),MONTH(B1180),1))</f>
        <v/>
      </c>
      <c r="N1180" s="26" t="str">
        <f aca="false">IF(L1180="","",L1180*M1180)</f>
        <v/>
      </c>
      <c r="P1180" s="26" t="str">
        <f aca="false">IF(L1180="","",N1180-L1180*O1180)</f>
        <v/>
      </c>
      <c r="T1180" s="22" t="str">
        <f aca="false">IF(R1180="","",IF(R1180&lt;=Q1180,"Yes","No"))</f>
        <v/>
      </c>
      <c r="U1180" s="22" t="str">
        <f aca="false">IF(B1180="","",TEXT(YEAR(B1180),"0"))</f>
        <v/>
      </c>
    </row>
    <row r="1181" customFormat="false" ht="15" hidden="false" customHeight="false" outlineLevel="0" collapsed="false">
      <c r="B1181" s="28"/>
      <c r="C1181" s="24" t="str">
        <f aca="false">IF(B1181="","",DATE(YEAR(B1181),MONTH(B1181),1))</f>
        <v/>
      </c>
      <c r="N1181" s="26" t="str">
        <f aca="false">IF(L1181="","",L1181*M1181)</f>
        <v/>
      </c>
      <c r="P1181" s="26" t="str">
        <f aca="false">IF(L1181="","",N1181-L1181*O1181)</f>
        <v/>
      </c>
      <c r="T1181" s="22" t="str">
        <f aca="false">IF(R1181="","",IF(R1181&lt;=Q1181,"Yes","No"))</f>
        <v/>
      </c>
      <c r="U1181" s="22" t="str">
        <f aca="false">IF(B1181="","",TEXT(YEAR(B1181),"0"))</f>
        <v/>
      </c>
    </row>
    <row r="1182" customFormat="false" ht="15" hidden="false" customHeight="false" outlineLevel="0" collapsed="false">
      <c r="B1182" s="28"/>
      <c r="C1182" s="24" t="str">
        <f aca="false">IF(B1182="","",DATE(YEAR(B1182),MONTH(B1182),1))</f>
        <v/>
      </c>
      <c r="N1182" s="26" t="str">
        <f aca="false">IF(L1182="","",L1182*M1182)</f>
        <v/>
      </c>
      <c r="P1182" s="26" t="str">
        <f aca="false">IF(L1182="","",N1182-L1182*O1182)</f>
        <v/>
      </c>
      <c r="T1182" s="22" t="str">
        <f aca="false">IF(R1182="","",IF(R1182&lt;=Q1182,"Yes","No"))</f>
        <v/>
      </c>
      <c r="U1182" s="22" t="str">
        <f aca="false">IF(B1182="","",TEXT(YEAR(B1182),"0"))</f>
        <v/>
      </c>
    </row>
    <row r="1183" customFormat="false" ht="15" hidden="false" customHeight="false" outlineLevel="0" collapsed="false">
      <c r="B1183" s="28"/>
      <c r="C1183" s="24" t="str">
        <f aca="false">IF(B1183="","",DATE(YEAR(B1183),MONTH(B1183),1))</f>
        <v/>
      </c>
      <c r="N1183" s="26" t="str">
        <f aca="false">IF(L1183="","",L1183*M1183)</f>
        <v/>
      </c>
      <c r="P1183" s="26" t="str">
        <f aca="false">IF(L1183="","",N1183-L1183*O1183)</f>
        <v/>
      </c>
      <c r="T1183" s="22" t="str">
        <f aca="false">IF(R1183="","",IF(R1183&lt;=Q1183,"Yes","No"))</f>
        <v/>
      </c>
      <c r="U1183" s="22" t="str">
        <f aca="false">IF(B1183="","",TEXT(YEAR(B1183),"0"))</f>
        <v/>
      </c>
    </row>
    <row r="1184" customFormat="false" ht="15" hidden="false" customHeight="false" outlineLevel="0" collapsed="false">
      <c r="B1184" s="28"/>
      <c r="C1184" s="24" t="str">
        <f aca="false">IF(B1184="","",DATE(YEAR(B1184),MONTH(B1184),1))</f>
        <v/>
      </c>
      <c r="N1184" s="26" t="str">
        <f aca="false">IF(L1184="","",L1184*M1184)</f>
        <v/>
      </c>
      <c r="P1184" s="26" t="str">
        <f aca="false">IF(L1184="","",N1184-L1184*O1184)</f>
        <v/>
      </c>
      <c r="T1184" s="22" t="str">
        <f aca="false">IF(R1184="","",IF(R1184&lt;=Q1184,"Yes","No"))</f>
        <v/>
      </c>
      <c r="U1184" s="22" t="str">
        <f aca="false">IF(B1184="","",TEXT(YEAR(B1184),"0"))</f>
        <v/>
      </c>
    </row>
    <row r="1185" customFormat="false" ht="15" hidden="false" customHeight="false" outlineLevel="0" collapsed="false">
      <c r="B1185" s="28"/>
      <c r="C1185" s="24" t="str">
        <f aca="false">IF(B1185="","",DATE(YEAR(B1185),MONTH(B1185),1))</f>
        <v/>
      </c>
      <c r="N1185" s="26" t="str">
        <f aca="false">IF(L1185="","",L1185*M1185)</f>
        <v/>
      </c>
      <c r="P1185" s="26" t="str">
        <f aca="false">IF(L1185="","",N1185-L1185*O1185)</f>
        <v/>
      </c>
      <c r="T1185" s="22" t="str">
        <f aca="false">IF(R1185="","",IF(R1185&lt;=Q1185,"Yes","No"))</f>
        <v/>
      </c>
      <c r="U1185" s="22" t="str">
        <f aca="false">IF(B1185="","",TEXT(YEAR(B1185),"0"))</f>
        <v/>
      </c>
    </row>
    <row r="1186" customFormat="false" ht="15" hidden="false" customHeight="false" outlineLevel="0" collapsed="false">
      <c r="B1186" s="28"/>
      <c r="C1186" s="24" t="str">
        <f aca="false">IF(B1186="","",DATE(YEAR(B1186),MONTH(B1186),1))</f>
        <v/>
      </c>
      <c r="N1186" s="26" t="str">
        <f aca="false">IF(L1186="","",L1186*M1186)</f>
        <v/>
      </c>
      <c r="P1186" s="26" t="str">
        <f aca="false">IF(L1186="","",N1186-L1186*O1186)</f>
        <v/>
      </c>
      <c r="T1186" s="22" t="str">
        <f aca="false">IF(R1186="","",IF(R1186&lt;=Q1186,"Yes","No"))</f>
        <v/>
      </c>
      <c r="U1186" s="22" t="str">
        <f aca="false">IF(B1186="","",TEXT(YEAR(B1186),"0"))</f>
        <v/>
      </c>
    </row>
    <row r="1187" customFormat="false" ht="15" hidden="false" customHeight="false" outlineLevel="0" collapsed="false">
      <c r="B1187" s="28"/>
      <c r="C1187" s="24" t="str">
        <f aca="false">IF(B1187="","",DATE(YEAR(B1187),MONTH(B1187),1))</f>
        <v/>
      </c>
      <c r="N1187" s="26" t="str">
        <f aca="false">IF(L1187="","",L1187*M1187)</f>
        <v/>
      </c>
      <c r="P1187" s="26" t="str">
        <f aca="false">IF(L1187="","",N1187-L1187*O1187)</f>
        <v/>
      </c>
      <c r="T1187" s="22" t="str">
        <f aca="false">IF(R1187="","",IF(R1187&lt;=Q1187,"Yes","No"))</f>
        <v/>
      </c>
      <c r="U1187" s="22" t="str">
        <f aca="false">IF(B1187="","",TEXT(YEAR(B1187),"0"))</f>
        <v/>
      </c>
    </row>
    <row r="1188" customFormat="false" ht="15" hidden="false" customHeight="false" outlineLevel="0" collapsed="false">
      <c r="B1188" s="28"/>
      <c r="C1188" s="24" t="str">
        <f aca="false">IF(B1188="","",DATE(YEAR(B1188),MONTH(B1188),1))</f>
        <v/>
      </c>
      <c r="N1188" s="26" t="str">
        <f aca="false">IF(L1188="","",L1188*M1188)</f>
        <v/>
      </c>
      <c r="P1188" s="26" t="str">
        <f aca="false">IF(L1188="","",N1188-L1188*O1188)</f>
        <v/>
      </c>
      <c r="T1188" s="22" t="str">
        <f aca="false">IF(R1188="","",IF(R1188&lt;=Q1188,"Yes","No"))</f>
        <v/>
      </c>
      <c r="U1188" s="22" t="str">
        <f aca="false">IF(B1188="","",TEXT(YEAR(B1188),"0"))</f>
        <v/>
      </c>
    </row>
    <row r="1189" customFormat="false" ht="15" hidden="false" customHeight="false" outlineLevel="0" collapsed="false">
      <c r="B1189" s="28"/>
      <c r="C1189" s="24" t="str">
        <f aca="false">IF(B1189="","",DATE(YEAR(B1189),MONTH(B1189),1))</f>
        <v/>
      </c>
      <c r="N1189" s="26" t="str">
        <f aca="false">IF(L1189="","",L1189*M1189)</f>
        <v/>
      </c>
      <c r="P1189" s="26" t="str">
        <f aca="false">IF(L1189="","",N1189-L1189*O1189)</f>
        <v/>
      </c>
      <c r="T1189" s="22" t="str">
        <f aca="false">IF(R1189="","",IF(R1189&lt;=Q1189,"Yes","No"))</f>
        <v/>
      </c>
      <c r="U1189" s="22" t="str">
        <f aca="false">IF(B1189="","",TEXT(YEAR(B1189),"0"))</f>
        <v/>
      </c>
    </row>
    <row r="1190" customFormat="false" ht="15" hidden="false" customHeight="false" outlineLevel="0" collapsed="false">
      <c r="B1190" s="28"/>
      <c r="C1190" s="24" t="str">
        <f aca="false">IF(B1190="","",DATE(YEAR(B1190),MONTH(B1190),1))</f>
        <v/>
      </c>
      <c r="N1190" s="26" t="str">
        <f aca="false">IF(L1190="","",L1190*M1190)</f>
        <v/>
      </c>
      <c r="P1190" s="26" t="str">
        <f aca="false">IF(L1190="","",N1190-L1190*O1190)</f>
        <v/>
      </c>
      <c r="T1190" s="22" t="str">
        <f aca="false">IF(R1190="","",IF(R1190&lt;=Q1190,"Yes","No"))</f>
        <v/>
      </c>
      <c r="U1190" s="22" t="str">
        <f aca="false">IF(B1190="","",TEXT(YEAR(B1190),"0"))</f>
        <v/>
      </c>
    </row>
    <row r="1191" customFormat="false" ht="15" hidden="false" customHeight="false" outlineLevel="0" collapsed="false">
      <c r="B1191" s="28"/>
      <c r="C1191" s="24" t="str">
        <f aca="false">IF(B1191="","",DATE(YEAR(B1191),MONTH(B1191),1))</f>
        <v/>
      </c>
      <c r="N1191" s="26" t="str">
        <f aca="false">IF(L1191="","",L1191*M1191)</f>
        <v/>
      </c>
      <c r="P1191" s="26" t="str">
        <f aca="false">IF(L1191="","",N1191-L1191*O1191)</f>
        <v/>
      </c>
      <c r="T1191" s="22" t="str">
        <f aca="false">IF(R1191="","",IF(R1191&lt;=Q1191,"Yes","No"))</f>
        <v/>
      </c>
      <c r="U1191" s="22" t="str">
        <f aca="false">IF(B1191="","",TEXT(YEAR(B1191),"0"))</f>
        <v/>
      </c>
    </row>
    <row r="1192" customFormat="false" ht="15" hidden="false" customHeight="false" outlineLevel="0" collapsed="false">
      <c r="B1192" s="28"/>
      <c r="C1192" s="24" t="str">
        <f aca="false">IF(B1192="","",DATE(YEAR(B1192),MONTH(B1192),1))</f>
        <v/>
      </c>
      <c r="N1192" s="26" t="str">
        <f aca="false">IF(L1192="","",L1192*M1192)</f>
        <v/>
      </c>
      <c r="P1192" s="26" t="str">
        <f aca="false">IF(L1192="","",N1192-L1192*O1192)</f>
        <v/>
      </c>
      <c r="T1192" s="22" t="str">
        <f aca="false">IF(R1192="","",IF(R1192&lt;=Q1192,"Yes","No"))</f>
        <v/>
      </c>
      <c r="U1192" s="22" t="str">
        <f aca="false">IF(B1192="","",TEXT(YEAR(B1192),"0"))</f>
        <v/>
      </c>
    </row>
    <row r="1193" customFormat="false" ht="15" hidden="false" customHeight="false" outlineLevel="0" collapsed="false">
      <c r="B1193" s="28"/>
      <c r="C1193" s="24" t="str">
        <f aca="false">IF(B1193="","",DATE(YEAR(B1193),MONTH(B1193),1))</f>
        <v/>
      </c>
      <c r="N1193" s="26" t="str">
        <f aca="false">IF(L1193="","",L1193*M1193)</f>
        <v/>
      </c>
      <c r="P1193" s="26" t="str">
        <f aca="false">IF(L1193="","",N1193-L1193*O1193)</f>
        <v/>
      </c>
      <c r="T1193" s="22" t="str">
        <f aca="false">IF(R1193="","",IF(R1193&lt;=Q1193,"Yes","No"))</f>
        <v/>
      </c>
      <c r="U1193" s="22" t="str">
        <f aca="false">IF(B1193="","",TEXT(YEAR(B1193),"0"))</f>
        <v/>
      </c>
    </row>
    <row r="1194" customFormat="false" ht="15" hidden="false" customHeight="false" outlineLevel="0" collapsed="false">
      <c r="B1194" s="28"/>
      <c r="C1194" s="24" t="str">
        <f aca="false">IF(B1194="","",DATE(YEAR(B1194),MONTH(B1194),1))</f>
        <v/>
      </c>
      <c r="N1194" s="26" t="str">
        <f aca="false">IF(L1194="","",L1194*M1194)</f>
        <v/>
      </c>
      <c r="P1194" s="26" t="str">
        <f aca="false">IF(L1194="","",N1194-L1194*O1194)</f>
        <v/>
      </c>
      <c r="T1194" s="22" t="str">
        <f aca="false">IF(R1194="","",IF(R1194&lt;=Q1194,"Yes","No"))</f>
        <v/>
      </c>
      <c r="U1194" s="22" t="str">
        <f aca="false">IF(B1194="","",TEXT(YEAR(B1194),"0"))</f>
        <v/>
      </c>
    </row>
    <row r="1195" customFormat="false" ht="15" hidden="false" customHeight="false" outlineLevel="0" collapsed="false">
      <c r="B1195" s="28"/>
      <c r="C1195" s="24" t="str">
        <f aca="false">IF(B1195="","",DATE(YEAR(B1195),MONTH(B1195),1))</f>
        <v/>
      </c>
      <c r="N1195" s="26" t="str">
        <f aca="false">IF(L1195="","",L1195*M1195)</f>
        <v/>
      </c>
      <c r="P1195" s="26" t="str">
        <f aca="false">IF(L1195="","",N1195-L1195*O1195)</f>
        <v/>
      </c>
      <c r="T1195" s="22" t="str">
        <f aca="false">IF(R1195="","",IF(R1195&lt;=Q1195,"Yes","No"))</f>
        <v/>
      </c>
      <c r="U1195" s="22" t="str">
        <f aca="false">IF(B1195="","",TEXT(YEAR(B1195),"0"))</f>
        <v/>
      </c>
    </row>
    <row r="1196" customFormat="false" ht="15" hidden="false" customHeight="false" outlineLevel="0" collapsed="false">
      <c r="B1196" s="28"/>
      <c r="C1196" s="24" t="str">
        <f aca="false">IF(B1196="","",DATE(YEAR(B1196),MONTH(B1196),1))</f>
        <v/>
      </c>
      <c r="N1196" s="26" t="str">
        <f aca="false">IF(L1196="","",L1196*M1196)</f>
        <v/>
      </c>
      <c r="P1196" s="26" t="str">
        <f aca="false">IF(L1196="","",N1196-L1196*O1196)</f>
        <v/>
      </c>
      <c r="T1196" s="22" t="str">
        <f aca="false">IF(R1196="","",IF(R1196&lt;=Q1196,"Yes","No"))</f>
        <v/>
      </c>
      <c r="U1196" s="22" t="str">
        <f aca="false">IF(B1196="","",TEXT(YEAR(B1196),"0"))</f>
        <v/>
      </c>
    </row>
    <row r="1197" customFormat="false" ht="15" hidden="false" customHeight="false" outlineLevel="0" collapsed="false">
      <c r="B1197" s="28"/>
      <c r="C1197" s="24" t="str">
        <f aca="false">IF(B1197="","",DATE(YEAR(B1197),MONTH(B1197),1))</f>
        <v/>
      </c>
      <c r="N1197" s="26" t="str">
        <f aca="false">IF(L1197="","",L1197*M1197)</f>
        <v/>
      </c>
      <c r="P1197" s="26" t="str">
        <f aca="false">IF(L1197="","",N1197-L1197*O1197)</f>
        <v/>
      </c>
      <c r="T1197" s="22" t="str">
        <f aca="false">IF(R1197="","",IF(R1197&lt;=Q1197,"Yes","No"))</f>
        <v/>
      </c>
      <c r="U1197" s="22" t="str">
        <f aca="false">IF(B1197="","",TEXT(YEAR(B1197),"0"))</f>
        <v/>
      </c>
    </row>
    <row r="1198" customFormat="false" ht="15" hidden="false" customHeight="false" outlineLevel="0" collapsed="false">
      <c r="B1198" s="28"/>
      <c r="C1198" s="24" t="str">
        <f aca="false">IF(B1198="","",DATE(YEAR(B1198),MONTH(B1198),1))</f>
        <v/>
      </c>
      <c r="N1198" s="26" t="str">
        <f aca="false">IF(L1198="","",L1198*M1198)</f>
        <v/>
      </c>
      <c r="P1198" s="26" t="str">
        <f aca="false">IF(L1198="","",N1198-L1198*O1198)</f>
        <v/>
      </c>
      <c r="T1198" s="22" t="str">
        <f aca="false">IF(R1198="","",IF(R1198&lt;=Q1198,"Yes","No"))</f>
        <v/>
      </c>
      <c r="U1198" s="22" t="str">
        <f aca="false">IF(B1198="","",TEXT(YEAR(B1198),"0"))</f>
        <v/>
      </c>
    </row>
    <row r="1199" customFormat="false" ht="15" hidden="false" customHeight="false" outlineLevel="0" collapsed="false">
      <c r="B1199" s="28"/>
      <c r="C1199" s="24" t="str">
        <f aca="false">IF(B1199="","",DATE(YEAR(B1199),MONTH(B1199),1))</f>
        <v/>
      </c>
      <c r="N1199" s="26" t="str">
        <f aca="false">IF(L1199="","",L1199*M1199)</f>
        <v/>
      </c>
      <c r="P1199" s="26" t="str">
        <f aca="false">IF(L1199="","",N1199-L1199*O1199)</f>
        <v/>
      </c>
      <c r="T1199" s="22" t="str">
        <f aca="false">IF(R1199="","",IF(R1199&lt;=Q1199,"Yes","No"))</f>
        <v/>
      </c>
      <c r="U1199" s="22" t="str">
        <f aca="false">IF(B1199="","",TEXT(YEAR(B1199),"0"))</f>
        <v/>
      </c>
    </row>
    <row r="1200" customFormat="false" ht="15" hidden="false" customHeight="false" outlineLevel="0" collapsed="false">
      <c r="B1200" s="28"/>
      <c r="C1200" s="24" t="str">
        <f aca="false">IF(B1200="","",DATE(YEAR(B1200),MONTH(B1200),1))</f>
        <v/>
      </c>
      <c r="N1200" s="26" t="str">
        <f aca="false">IF(L1200="","",L1200*M1200)</f>
        <v/>
      </c>
      <c r="P1200" s="26" t="str">
        <f aca="false">IF(L1200="","",N1200-L1200*O1200)</f>
        <v/>
      </c>
      <c r="T1200" s="22" t="str">
        <f aca="false">IF(R1200="","",IF(R1200&lt;=Q1200,"Yes","No"))</f>
        <v/>
      </c>
      <c r="U1200" s="22" t="str">
        <f aca="false">IF(B1200="","",TEXT(YEAR(B1200),"0"))</f>
        <v/>
      </c>
    </row>
    <row r="1201" customFormat="false" ht="15" hidden="false" customHeight="false" outlineLevel="0" collapsed="false">
      <c r="B1201" s="28"/>
      <c r="C1201" s="24" t="str">
        <f aca="false">IF(B1201="","",DATE(YEAR(B1201),MONTH(B1201),1))</f>
        <v/>
      </c>
      <c r="N1201" s="26" t="str">
        <f aca="false">IF(L1201="","",L1201*M1201)</f>
        <v/>
      </c>
      <c r="P1201" s="26" t="str">
        <f aca="false">IF(L1201="","",N1201-L1201*O1201)</f>
        <v/>
      </c>
      <c r="T1201" s="22" t="str">
        <f aca="false">IF(R1201="","",IF(R1201&lt;=Q1201,"Yes","No"))</f>
        <v/>
      </c>
      <c r="U1201" s="22" t="str">
        <f aca="false">IF(B1201="","",TEXT(YEAR(B1201),"0"))</f>
        <v/>
      </c>
    </row>
    <row r="1202" customFormat="false" ht="15" hidden="false" customHeight="false" outlineLevel="0" collapsed="false">
      <c r="B1202" s="28"/>
      <c r="C1202" s="24" t="str">
        <f aca="false">IF(B1202="","",DATE(YEAR(B1202),MONTH(B1202),1))</f>
        <v/>
      </c>
      <c r="N1202" s="26" t="str">
        <f aca="false">IF(L1202="","",L1202*M1202)</f>
        <v/>
      </c>
      <c r="P1202" s="26" t="str">
        <f aca="false">IF(L1202="","",N1202-L1202*O1202)</f>
        <v/>
      </c>
      <c r="T1202" s="22" t="str">
        <f aca="false">IF(R1202="","",IF(R1202&lt;=Q1202,"Yes","No"))</f>
        <v/>
      </c>
      <c r="U1202" s="22" t="str">
        <f aca="false">IF(B1202="","",TEXT(YEAR(B1202),"0"))</f>
        <v/>
      </c>
    </row>
    <row r="1203" customFormat="false" ht="15" hidden="false" customHeight="false" outlineLevel="0" collapsed="false">
      <c r="B1203" s="28"/>
      <c r="C1203" s="24" t="str">
        <f aca="false">IF(B1203="","",DATE(YEAR(B1203),MONTH(B1203),1))</f>
        <v/>
      </c>
      <c r="N1203" s="26" t="str">
        <f aca="false">IF(L1203="","",L1203*M1203)</f>
        <v/>
      </c>
      <c r="P1203" s="26" t="str">
        <f aca="false">IF(L1203="","",N1203-L1203*O1203)</f>
        <v/>
      </c>
      <c r="T1203" s="22" t="str">
        <f aca="false">IF(R1203="","",IF(R1203&lt;=Q1203,"Yes","No"))</f>
        <v/>
      </c>
      <c r="U1203" s="22" t="str">
        <f aca="false">IF(B1203="","",TEXT(YEAR(B1203),"0"))</f>
        <v/>
      </c>
    </row>
    <row r="1204" customFormat="false" ht="15" hidden="false" customHeight="false" outlineLevel="0" collapsed="false">
      <c r="B1204" s="28"/>
      <c r="C1204" s="24" t="str">
        <f aca="false">IF(B1204="","",DATE(YEAR(B1204),MONTH(B1204),1))</f>
        <v/>
      </c>
      <c r="N1204" s="26" t="str">
        <f aca="false">IF(L1204="","",L1204*M1204)</f>
        <v/>
      </c>
      <c r="P1204" s="26" t="str">
        <f aca="false">IF(L1204="","",N1204-L1204*O1204)</f>
        <v/>
      </c>
      <c r="T1204" s="22" t="str">
        <f aca="false">IF(R1204="","",IF(R1204&lt;=Q1204,"Yes","No"))</f>
        <v/>
      </c>
      <c r="U1204" s="22" t="str">
        <f aca="false">IF(B1204="","",TEXT(YEAR(B1204),"0"))</f>
        <v/>
      </c>
    </row>
    <row r="1205" customFormat="false" ht="15" hidden="false" customHeight="false" outlineLevel="0" collapsed="false">
      <c r="B1205" s="28"/>
      <c r="C1205" s="24" t="str">
        <f aca="false">IF(B1205="","",DATE(YEAR(B1205),MONTH(B1205),1))</f>
        <v/>
      </c>
      <c r="N1205" s="26" t="str">
        <f aca="false">IF(L1205="","",L1205*M1205)</f>
        <v/>
      </c>
      <c r="P1205" s="26" t="str">
        <f aca="false">IF(L1205="","",N1205-L1205*O1205)</f>
        <v/>
      </c>
      <c r="T1205" s="22" t="str">
        <f aca="false">IF(R1205="","",IF(R1205&lt;=Q1205,"Yes","No"))</f>
        <v/>
      </c>
      <c r="U1205" s="22" t="str">
        <f aca="false">IF(B1205="","",TEXT(YEAR(B1205),"0"))</f>
        <v/>
      </c>
    </row>
    <row r="1206" customFormat="false" ht="15" hidden="false" customHeight="false" outlineLevel="0" collapsed="false">
      <c r="B1206" s="28"/>
      <c r="C1206" s="24" t="str">
        <f aca="false">IF(B1206="","",DATE(YEAR(B1206),MONTH(B1206),1))</f>
        <v/>
      </c>
      <c r="N1206" s="26" t="str">
        <f aca="false">IF(L1206="","",L1206*M1206)</f>
        <v/>
      </c>
      <c r="P1206" s="26" t="str">
        <f aca="false">IF(L1206="","",N1206-L1206*O1206)</f>
        <v/>
      </c>
      <c r="T1206" s="22" t="str">
        <f aca="false">IF(R1206="","",IF(R1206&lt;=Q1206,"Yes","No"))</f>
        <v/>
      </c>
      <c r="U1206" s="22" t="str">
        <f aca="false">IF(B1206="","",TEXT(YEAR(B1206),"0"))</f>
        <v/>
      </c>
    </row>
    <row r="1207" customFormat="false" ht="15" hidden="false" customHeight="false" outlineLevel="0" collapsed="false">
      <c r="B1207" s="28"/>
      <c r="C1207" s="24" t="str">
        <f aca="false">IF(B1207="","",DATE(YEAR(B1207),MONTH(B1207),1))</f>
        <v/>
      </c>
      <c r="N1207" s="26" t="str">
        <f aca="false">IF(L1207="","",L1207*M1207)</f>
        <v/>
      </c>
      <c r="P1207" s="26" t="str">
        <f aca="false">IF(L1207="","",N1207-L1207*O1207)</f>
        <v/>
      </c>
      <c r="T1207" s="22" t="str">
        <f aca="false">IF(R1207="","",IF(R1207&lt;=Q1207,"Yes","No"))</f>
        <v/>
      </c>
      <c r="U1207" s="22" t="str">
        <f aca="false">IF(B1207="","",TEXT(YEAR(B1207),"0"))</f>
        <v/>
      </c>
    </row>
    <row r="1208" customFormat="false" ht="15" hidden="false" customHeight="false" outlineLevel="0" collapsed="false">
      <c r="B1208" s="28"/>
      <c r="C1208" s="24" t="str">
        <f aca="false">IF(B1208="","",DATE(YEAR(B1208),MONTH(B1208),1))</f>
        <v/>
      </c>
      <c r="N1208" s="26" t="str">
        <f aca="false">IF(L1208="","",L1208*M1208)</f>
        <v/>
      </c>
      <c r="P1208" s="26" t="str">
        <f aca="false">IF(L1208="","",N1208-L1208*O1208)</f>
        <v/>
      </c>
      <c r="T1208" s="22" t="str">
        <f aca="false">IF(R1208="","",IF(R1208&lt;=Q1208,"Yes","No"))</f>
        <v/>
      </c>
      <c r="U1208" s="22" t="str">
        <f aca="false">IF(B1208="","",TEXT(YEAR(B1208),"0"))</f>
        <v/>
      </c>
    </row>
    <row r="1209" customFormat="false" ht="15" hidden="false" customHeight="false" outlineLevel="0" collapsed="false">
      <c r="B1209" s="28"/>
      <c r="C1209" s="24" t="str">
        <f aca="false">IF(B1209="","",DATE(YEAR(B1209),MONTH(B1209),1))</f>
        <v/>
      </c>
      <c r="N1209" s="26" t="str">
        <f aca="false">IF(L1209="","",L1209*M1209)</f>
        <v/>
      </c>
      <c r="P1209" s="26" t="str">
        <f aca="false">IF(L1209="","",N1209-L1209*O1209)</f>
        <v/>
      </c>
      <c r="T1209" s="22" t="str">
        <f aca="false">IF(R1209="","",IF(R1209&lt;=Q1209,"Yes","No"))</f>
        <v/>
      </c>
      <c r="U1209" s="22" t="str">
        <f aca="false">IF(B1209="","",TEXT(YEAR(B1209),"0"))</f>
        <v/>
      </c>
    </row>
    <row r="1210" customFormat="false" ht="15" hidden="false" customHeight="false" outlineLevel="0" collapsed="false">
      <c r="B1210" s="28"/>
      <c r="C1210" s="24" t="str">
        <f aca="false">IF(B1210="","",DATE(YEAR(B1210),MONTH(B1210),1))</f>
        <v/>
      </c>
      <c r="N1210" s="26" t="str">
        <f aca="false">IF(L1210="","",L1210*M1210)</f>
        <v/>
      </c>
      <c r="P1210" s="26" t="str">
        <f aca="false">IF(L1210="","",N1210-L1210*O1210)</f>
        <v/>
      </c>
      <c r="T1210" s="22" t="str">
        <f aca="false">IF(R1210="","",IF(R1210&lt;=Q1210,"Yes","No"))</f>
        <v/>
      </c>
      <c r="U1210" s="22" t="str">
        <f aca="false">IF(B1210="","",TEXT(YEAR(B1210),"0"))</f>
        <v/>
      </c>
    </row>
    <row r="1211" customFormat="false" ht="15" hidden="false" customHeight="false" outlineLevel="0" collapsed="false">
      <c r="B1211" s="28"/>
      <c r="C1211" s="24" t="str">
        <f aca="false">IF(B1211="","",DATE(YEAR(B1211),MONTH(B1211),1))</f>
        <v/>
      </c>
      <c r="N1211" s="26" t="str">
        <f aca="false">IF(L1211="","",L1211*M1211)</f>
        <v/>
      </c>
      <c r="P1211" s="26" t="str">
        <f aca="false">IF(L1211="","",N1211-L1211*O1211)</f>
        <v/>
      </c>
      <c r="T1211" s="22" t="str">
        <f aca="false">IF(R1211="","",IF(R1211&lt;=Q1211,"Yes","No"))</f>
        <v/>
      </c>
      <c r="U1211" s="22" t="str">
        <f aca="false">IF(B1211="","",TEXT(YEAR(B1211),"0"))</f>
        <v/>
      </c>
    </row>
    <row r="1212" customFormat="false" ht="15" hidden="false" customHeight="false" outlineLevel="0" collapsed="false">
      <c r="B1212" s="28"/>
      <c r="C1212" s="24" t="str">
        <f aca="false">IF(B1212="","",DATE(YEAR(B1212),MONTH(B1212),1))</f>
        <v/>
      </c>
      <c r="N1212" s="26" t="str">
        <f aca="false">IF(L1212="","",L1212*M1212)</f>
        <v/>
      </c>
      <c r="P1212" s="26" t="str">
        <f aca="false">IF(L1212="","",N1212-L1212*O1212)</f>
        <v/>
      </c>
      <c r="T1212" s="22" t="str">
        <f aca="false">IF(R1212="","",IF(R1212&lt;=Q1212,"Yes","No"))</f>
        <v/>
      </c>
      <c r="U1212" s="22" t="str">
        <f aca="false">IF(B1212="","",TEXT(YEAR(B1212),"0"))</f>
        <v/>
      </c>
    </row>
    <row r="1213" customFormat="false" ht="15" hidden="false" customHeight="false" outlineLevel="0" collapsed="false">
      <c r="B1213" s="28"/>
      <c r="C1213" s="24" t="str">
        <f aca="false">IF(B1213="","",DATE(YEAR(B1213),MONTH(B1213),1))</f>
        <v/>
      </c>
      <c r="N1213" s="26" t="str">
        <f aca="false">IF(L1213="","",L1213*M1213)</f>
        <v/>
      </c>
      <c r="P1213" s="26" t="str">
        <f aca="false">IF(L1213="","",N1213-L1213*O1213)</f>
        <v/>
      </c>
      <c r="T1213" s="22" t="str">
        <f aca="false">IF(R1213="","",IF(R1213&lt;=Q1213,"Yes","No"))</f>
        <v/>
      </c>
      <c r="U1213" s="22" t="str">
        <f aca="false">IF(B1213="","",TEXT(YEAR(B1213),"0"))</f>
        <v/>
      </c>
    </row>
    <row r="1214" customFormat="false" ht="15" hidden="false" customHeight="false" outlineLevel="0" collapsed="false">
      <c r="B1214" s="28"/>
      <c r="C1214" s="24" t="str">
        <f aca="false">IF(B1214="","",DATE(YEAR(B1214),MONTH(B1214),1))</f>
        <v/>
      </c>
      <c r="N1214" s="26" t="str">
        <f aca="false">IF(L1214="","",L1214*M1214)</f>
        <v/>
      </c>
      <c r="P1214" s="26" t="str">
        <f aca="false">IF(L1214="","",N1214-L1214*O1214)</f>
        <v/>
      </c>
      <c r="T1214" s="22" t="str">
        <f aca="false">IF(R1214="","",IF(R1214&lt;=Q1214,"Yes","No"))</f>
        <v/>
      </c>
      <c r="U1214" s="22" t="str">
        <f aca="false">IF(B1214="","",TEXT(YEAR(B1214),"0"))</f>
        <v/>
      </c>
    </row>
    <row r="1215" customFormat="false" ht="15" hidden="false" customHeight="false" outlineLevel="0" collapsed="false">
      <c r="B1215" s="28"/>
      <c r="C1215" s="24" t="str">
        <f aca="false">IF(B1215="","",DATE(YEAR(B1215),MONTH(B1215),1))</f>
        <v/>
      </c>
      <c r="N1215" s="26" t="str">
        <f aca="false">IF(L1215="","",L1215*M1215)</f>
        <v/>
      </c>
      <c r="P1215" s="26" t="str">
        <f aca="false">IF(L1215="","",N1215-L1215*O1215)</f>
        <v/>
      </c>
      <c r="T1215" s="22" t="str">
        <f aca="false">IF(R1215="","",IF(R1215&lt;=Q1215,"Yes","No"))</f>
        <v/>
      </c>
      <c r="U1215" s="22" t="str">
        <f aca="false">IF(B1215="","",TEXT(YEAR(B1215),"0"))</f>
        <v/>
      </c>
    </row>
    <row r="1216" customFormat="false" ht="15" hidden="false" customHeight="false" outlineLevel="0" collapsed="false">
      <c r="B1216" s="28"/>
      <c r="C1216" s="24" t="str">
        <f aca="false">IF(B1216="","",DATE(YEAR(B1216),MONTH(B1216),1))</f>
        <v/>
      </c>
      <c r="N1216" s="26" t="str">
        <f aca="false">IF(L1216="","",L1216*M1216)</f>
        <v/>
      </c>
      <c r="P1216" s="26" t="str">
        <f aca="false">IF(L1216="","",N1216-L1216*O1216)</f>
        <v/>
      </c>
      <c r="T1216" s="22" t="str">
        <f aca="false">IF(R1216="","",IF(R1216&lt;=Q1216,"Yes","No"))</f>
        <v/>
      </c>
      <c r="U1216" s="22" t="str">
        <f aca="false">IF(B1216="","",TEXT(YEAR(B1216),"0"))</f>
        <v/>
      </c>
    </row>
    <row r="1217" customFormat="false" ht="15" hidden="false" customHeight="false" outlineLevel="0" collapsed="false">
      <c r="B1217" s="28"/>
      <c r="C1217" s="24" t="str">
        <f aca="false">IF(B1217="","",DATE(YEAR(B1217),MONTH(B1217),1))</f>
        <v/>
      </c>
      <c r="N1217" s="26" t="str">
        <f aca="false">IF(L1217="","",L1217*M1217)</f>
        <v/>
      </c>
      <c r="P1217" s="26" t="str">
        <f aca="false">IF(L1217="","",N1217-L1217*O1217)</f>
        <v/>
      </c>
      <c r="T1217" s="22" t="str">
        <f aca="false">IF(R1217="","",IF(R1217&lt;=Q1217,"Yes","No"))</f>
        <v/>
      </c>
      <c r="U1217" s="22" t="str">
        <f aca="false">IF(B1217="","",TEXT(YEAR(B1217),"0"))</f>
        <v/>
      </c>
    </row>
    <row r="1218" customFormat="false" ht="15" hidden="false" customHeight="false" outlineLevel="0" collapsed="false">
      <c r="B1218" s="28"/>
      <c r="C1218" s="24" t="str">
        <f aca="false">IF(B1218="","",DATE(YEAR(B1218),MONTH(B1218),1))</f>
        <v/>
      </c>
      <c r="N1218" s="26" t="str">
        <f aca="false">IF(L1218="","",L1218*M1218)</f>
        <v/>
      </c>
      <c r="P1218" s="26" t="str">
        <f aca="false">IF(L1218="","",N1218-L1218*O1218)</f>
        <v/>
      </c>
      <c r="T1218" s="22" t="str">
        <f aca="false">IF(R1218="","",IF(R1218&lt;=Q1218,"Yes","No"))</f>
        <v/>
      </c>
      <c r="U1218" s="22" t="str">
        <f aca="false">IF(B1218="","",TEXT(YEAR(B1218),"0"))</f>
        <v/>
      </c>
    </row>
    <row r="1219" customFormat="false" ht="15" hidden="false" customHeight="false" outlineLevel="0" collapsed="false">
      <c r="B1219" s="28"/>
      <c r="C1219" s="24" t="str">
        <f aca="false">IF(B1219="","",DATE(YEAR(B1219),MONTH(B1219),1))</f>
        <v/>
      </c>
      <c r="N1219" s="26" t="str">
        <f aca="false">IF(L1219="","",L1219*M1219)</f>
        <v/>
      </c>
      <c r="P1219" s="26" t="str">
        <f aca="false">IF(L1219="","",N1219-L1219*O1219)</f>
        <v/>
      </c>
      <c r="T1219" s="22" t="str">
        <f aca="false">IF(R1219="","",IF(R1219&lt;=Q1219,"Yes","No"))</f>
        <v/>
      </c>
      <c r="U1219" s="22" t="str">
        <f aca="false">IF(B1219="","",TEXT(YEAR(B1219),"0"))</f>
        <v/>
      </c>
    </row>
    <row r="1220" customFormat="false" ht="15" hidden="false" customHeight="false" outlineLevel="0" collapsed="false">
      <c r="B1220" s="28"/>
      <c r="C1220" s="24" t="str">
        <f aca="false">IF(B1220="","",DATE(YEAR(B1220),MONTH(B1220),1))</f>
        <v/>
      </c>
      <c r="N1220" s="26" t="str">
        <f aca="false">IF(L1220="","",L1220*M1220)</f>
        <v/>
      </c>
      <c r="P1220" s="26" t="str">
        <f aca="false">IF(L1220="","",N1220-L1220*O1220)</f>
        <v/>
      </c>
      <c r="T1220" s="22" t="str">
        <f aca="false">IF(R1220="","",IF(R1220&lt;=Q1220,"Yes","No"))</f>
        <v/>
      </c>
      <c r="U1220" s="22" t="str">
        <f aca="false">IF(B1220="","",TEXT(YEAR(B1220),"0"))</f>
        <v/>
      </c>
    </row>
    <row r="1221" customFormat="false" ht="15" hidden="false" customHeight="false" outlineLevel="0" collapsed="false">
      <c r="B1221" s="28"/>
      <c r="C1221" s="24" t="str">
        <f aca="false">IF(B1221="","",DATE(YEAR(B1221),MONTH(B1221),1))</f>
        <v/>
      </c>
      <c r="N1221" s="26" t="str">
        <f aca="false">IF(L1221="","",L1221*M1221)</f>
        <v/>
      </c>
      <c r="P1221" s="26" t="str">
        <f aca="false">IF(L1221="","",N1221-L1221*O1221)</f>
        <v/>
      </c>
      <c r="T1221" s="22" t="str">
        <f aca="false">IF(R1221="","",IF(R1221&lt;=Q1221,"Yes","No"))</f>
        <v/>
      </c>
      <c r="U1221" s="22" t="str">
        <f aca="false">IF(B1221="","",TEXT(YEAR(B1221),"0"))</f>
        <v/>
      </c>
    </row>
    <row r="1222" customFormat="false" ht="15" hidden="false" customHeight="false" outlineLevel="0" collapsed="false">
      <c r="B1222" s="28"/>
      <c r="C1222" s="24" t="str">
        <f aca="false">IF(B1222="","",DATE(YEAR(B1222),MONTH(B1222),1))</f>
        <v/>
      </c>
      <c r="N1222" s="26" t="str">
        <f aca="false">IF(L1222="","",L1222*M1222)</f>
        <v/>
      </c>
      <c r="P1222" s="26" t="str">
        <f aca="false">IF(L1222="","",N1222-L1222*O1222)</f>
        <v/>
      </c>
      <c r="T1222" s="22" t="str">
        <f aca="false">IF(R1222="","",IF(R1222&lt;=Q1222,"Yes","No"))</f>
        <v/>
      </c>
      <c r="U1222" s="22" t="str">
        <f aca="false">IF(B1222="","",TEXT(YEAR(B1222),"0"))</f>
        <v/>
      </c>
    </row>
    <row r="1223" customFormat="false" ht="15" hidden="false" customHeight="false" outlineLevel="0" collapsed="false">
      <c r="B1223" s="28"/>
      <c r="C1223" s="24" t="str">
        <f aca="false">IF(B1223="","",DATE(YEAR(B1223),MONTH(B1223),1))</f>
        <v/>
      </c>
      <c r="N1223" s="26" t="str">
        <f aca="false">IF(L1223="","",L1223*M1223)</f>
        <v/>
      </c>
      <c r="P1223" s="26" t="str">
        <f aca="false">IF(L1223="","",N1223-L1223*O1223)</f>
        <v/>
      </c>
      <c r="T1223" s="22" t="str">
        <f aca="false">IF(R1223="","",IF(R1223&lt;=Q1223,"Yes","No"))</f>
        <v/>
      </c>
      <c r="U1223" s="22" t="str">
        <f aca="false">IF(B1223="","",TEXT(YEAR(B1223),"0"))</f>
        <v/>
      </c>
    </row>
    <row r="1224" customFormat="false" ht="15" hidden="false" customHeight="false" outlineLevel="0" collapsed="false">
      <c r="B1224" s="28"/>
      <c r="C1224" s="24" t="str">
        <f aca="false">IF(B1224="","",DATE(YEAR(B1224),MONTH(B1224),1))</f>
        <v/>
      </c>
      <c r="N1224" s="26" t="str">
        <f aca="false">IF(L1224="","",L1224*M1224)</f>
        <v/>
      </c>
      <c r="P1224" s="26" t="str">
        <f aca="false">IF(L1224="","",N1224-L1224*O1224)</f>
        <v/>
      </c>
      <c r="T1224" s="22" t="str">
        <f aca="false">IF(R1224="","",IF(R1224&lt;=Q1224,"Yes","No"))</f>
        <v/>
      </c>
      <c r="U1224" s="22" t="str">
        <f aca="false">IF(B1224="","",TEXT(YEAR(B1224),"0"))</f>
        <v/>
      </c>
    </row>
    <row r="1225" customFormat="false" ht="15" hidden="false" customHeight="false" outlineLevel="0" collapsed="false">
      <c r="B1225" s="28"/>
      <c r="C1225" s="24" t="str">
        <f aca="false">IF(B1225="","",DATE(YEAR(B1225),MONTH(B1225),1))</f>
        <v/>
      </c>
      <c r="N1225" s="26" t="str">
        <f aca="false">IF(L1225="","",L1225*M1225)</f>
        <v/>
      </c>
      <c r="P1225" s="26" t="str">
        <f aca="false">IF(L1225="","",N1225-L1225*O1225)</f>
        <v/>
      </c>
      <c r="T1225" s="22" t="str">
        <f aca="false">IF(R1225="","",IF(R1225&lt;=Q1225,"Yes","No"))</f>
        <v/>
      </c>
      <c r="U1225" s="22" t="str">
        <f aca="false">IF(B1225="","",TEXT(YEAR(B1225),"0"))</f>
        <v/>
      </c>
    </row>
    <row r="1226" customFormat="false" ht="15" hidden="false" customHeight="false" outlineLevel="0" collapsed="false">
      <c r="B1226" s="28"/>
      <c r="C1226" s="24" t="str">
        <f aca="false">IF(B1226="","",DATE(YEAR(B1226),MONTH(B1226),1))</f>
        <v/>
      </c>
      <c r="N1226" s="26" t="str">
        <f aca="false">IF(L1226="","",L1226*M1226)</f>
        <v/>
      </c>
      <c r="P1226" s="26" t="str">
        <f aca="false">IF(L1226="","",N1226-L1226*O1226)</f>
        <v/>
      </c>
      <c r="T1226" s="22" t="str">
        <f aca="false">IF(R1226="","",IF(R1226&lt;=Q1226,"Yes","No"))</f>
        <v/>
      </c>
      <c r="U1226" s="22" t="str">
        <f aca="false">IF(B1226="","",TEXT(YEAR(B1226),"0"))</f>
        <v/>
      </c>
    </row>
    <row r="1227" customFormat="false" ht="15" hidden="false" customHeight="false" outlineLevel="0" collapsed="false">
      <c r="B1227" s="28"/>
      <c r="C1227" s="24" t="str">
        <f aca="false">IF(B1227="","",DATE(YEAR(B1227),MONTH(B1227),1))</f>
        <v/>
      </c>
      <c r="N1227" s="26" t="str">
        <f aca="false">IF(L1227="","",L1227*M1227)</f>
        <v/>
      </c>
      <c r="P1227" s="26" t="str">
        <f aca="false">IF(L1227="","",N1227-L1227*O1227)</f>
        <v/>
      </c>
      <c r="T1227" s="22" t="str">
        <f aca="false">IF(R1227="","",IF(R1227&lt;=Q1227,"Yes","No"))</f>
        <v/>
      </c>
      <c r="U1227" s="22" t="str">
        <f aca="false">IF(B1227="","",TEXT(YEAR(B1227),"0"))</f>
        <v/>
      </c>
    </row>
    <row r="1228" customFormat="false" ht="15" hidden="false" customHeight="false" outlineLevel="0" collapsed="false">
      <c r="B1228" s="28"/>
      <c r="C1228" s="24" t="str">
        <f aca="false">IF(B1228="","",DATE(YEAR(B1228),MONTH(B1228),1))</f>
        <v/>
      </c>
      <c r="N1228" s="26" t="str">
        <f aca="false">IF(L1228="","",L1228*M1228)</f>
        <v/>
      </c>
      <c r="P1228" s="26" t="str">
        <f aca="false">IF(L1228="","",N1228-L1228*O1228)</f>
        <v/>
      </c>
      <c r="T1228" s="22" t="str">
        <f aca="false">IF(R1228="","",IF(R1228&lt;=Q1228,"Yes","No"))</f>
        <v/>
      </c>
      <c r="U1228" s="22" t="str">
        <f aca="false">IF(B1228="","",TEXT(YEAR(B1228),"0"))</f>
        <v/>
      </c>
    </row>
    <row r="1229" customFormat="false" ht="15" hidden="false" customHeight="false" outlineLevel="0" collapsed="false">
      <c r="B1229" s="28"/>
      <c r="C1229" s="24" t="str">
        <f aca="false">IF(B1229="","",DATE(YEAR(B1229),MONTH(B1229),1))</f>
        <v/>
      </c>
      <c r="N1229" s="26" t="str">
        <f aca="false">IF(L1229="","",L1229*M1229)</f>
        <v/>
      </c>
      <c r="P1229" s="26" t="str">
        <f aca="false">IF(L1229="","",N1229-L1229*O1229)</f>
        <v/>
      </c>
      <c r="T1229" s="22" t="str">
        <f aca="false">IF(R1229="","",IF(R1229&lt;=Q1229,"Yes","No"))</f>
        <v/>
      </c>
      <c r="U1229" s="22" t="str">
        <f aca="false">IF(B1229="","",TEXT(YEAR(B1229),"0"))</f>
        <v/>
      </c>
    </row>
    <row r="1230" customFormat="false" ht="15" hidden="false" customHeight="false" outlineLevel="0" collapsed="false">
      <c r="B1230" s="28"/>
      <c r="C1230" s="24" t="str">
        <f aca="false">IF(B1230="","",DATE(YEAR(B1230),MONTH(B1230),1))</f>
        <v/>
      </c>
      <c r="N1230" s="26" t="str">
        <f aca="false">IF(L1230="","",L1230*M1230)</f>
        <v/>
      </c>
      <c r="P1230" s="26" t="str">
        <f aca="false">IF(L1230="","",N1230-L1230*O1230)</f>
        <v/>
      </c>
      <c r="T1230" s="22" t="str">
        <f aca="false">IF(R1230="","",IF(R1230&lt;=Q1230,"Yes","No"))</f>
        <v/>
      </c>
      <c r="U1230" s="22" t="str">
        <f aca="false">IF(B1230="","",TEXT(YEAR(B1230),"0"))</f>
        <v/>
      </c>
    </row>
    <row r="1231" customFormat="false" ht="15" hidden="false" customHeight="false" outlineLevel="0" collapsed="false">
      <c r="B1231" s="28"/>
      <c r="C1231" s="24" t="str">
        <f aca="false">IF(B1231="","",DATE(YEAR(B1231),MONTH(B1231),1))</f>
        <v/>
      </c>
      <c r="N1231" s="26" t="str">
        <f aca="false">IF(L1231="","",L1231*M1231)</f>
        <v/>
      </c>
      <c r="P1231" s="26" t="str">
        <f aca="false">IF(L1231="","",N1231-L1231*O1231)</f>
        <v/>
      </c>
      <c r="T1231" s="22" t="str">
        <f aca="false">IF(R1231="","",IF(R1231&lt;=Q1231,"Yes","No"))</f>
        <v/>
      </c>
      <c r="U1231" s="22" t="str">
        <f aca="false">IF(B1231="","",TEXT(YEAR(B1231),"0"))</f>
        <v/>
      </c>
    </row>
    <row r="1232" customFormat="false" ht="15" hidden="false" customHeight="false" outlineLevel="0" collapsed="false">
      <c r="B1232" s="28"/>
      <c r="C1232" s="24" t="str">
        <f aca="false">IF(B1232="","",DATE(YEAR(B1232),MONTH(B1232),1))</f>
        <v/>
      </c>
      <c r="N1232" s="26" t="str">
        <f aca="false">IF(L1232="","",L1232*M1232)</f>
        <v/>
      </c>
      <c r="P1232" s="26" t="str">
        <f aca="false">IF(L1232="","",N1232-L1232*O1232)</f>
        <v/>
      </c>
      <c r="T1232" s="22" t="str">
        <f aca="false">IF(R1232="","",IF(R1232&lt;=Q1232,"Yes","No"))</f>
        <v/>
      </c>
      <c r="U1232" s="22" t="str">
        <f aca="false">IF(B1232="","",TEXT(YEAR(B1232),"0"))</f>
        <v/>
      </c>
    </row>
    <row r="1233" customFormat="false" ht="15" hidden="false" customHeight="false" outlineLevel="0" collapsed="false">
      <c r="B1233" s="28"/>
      <c r="C1233" s="24" t="str">
        <f aca="false">IF(B1233="","",DATE(YEAR(B1233),MONTH(B1233),1))</f>
        <v/>
      </c>
      <c r="N1233" s="26" t="str">
        <f aca="false">IF(L1233="","",L1233*M1233)</f>
        <v/>
      </c>
      <c r="P1233" s="26" t="str">
        <f aca="false">IF(L1233="","",N1233-L1233*O1233)</f>
        <v/>
      </c>
      <c r="T1233" s="22" t="str">
        <f aca="false">IF(R1233="","",IF(R1233&lt;=Q1233,"Yes","No"))</f>
        <v/>
      </c>
      <c r="U1233" s="22" t="str">
        <f aca="false">IF(B1233="","",TEXT(YEAR(B1233),"0"))</f>
        <v/>
      </c>
    </row>
    <row r="1234" customFormat="false" ht="15" hidden="false" customHeight="false" outlineLevel="0" collapsed="false">
      <c r="B1234" s="28"/>
      <c r="C1234" s="24" t="str">
        <f aca="false">IF(B1234="","",DATE(YEAR(B1234),MONTH(B1234),1))</f>
        <v/>
      </c>
      <c r="N1234" s="26" t="str">
        <f aca="false">IF(L1234="","",L1234*M1234)</f>
        <v/>
      </c>
      <c r="P1234" s="26" t="str">
        <f aca="false">IF(L1234="","",N1234-L1234*O1234)</f>
        <v/>
      </c>
      <c r="T1234" s="22" t="str">
        <f aca="false">IF(R1234="","",IF(R1234&lt;=Q1234,"Yes","No"))</f>
        <v/>
      </c>
      <c r="U1234" s="22" t="str">
        <f aca="false">IF(B1234="","",TEXT(YEAR(B1234),"0"))</f>
        <v/>
      </c>
    </row>
    <row r="1235" customFormat="false" ht="15" hidden="false" customHeight="false" outlineLevel="0" collapsed="false">
      <c r="B1235" s="28"/>
      <c r="C1235" s="24" t="str">
        <f aca="false">IF(B1235="","",DATE(YEAR(B1235),MONTH(B1235),1))</f>
        <v/>
      </c>
      <c r="N1235" s="26" t="str">
        <f aca="false">IF(L1235="","",L1235*M1235)</f>
        <v/>
      </c>
      <c r="P1235" s="26" t="str">
        <f aca="false">IF(L1235="","",N1235-L1235*O1235)</f>
        <v/>
      </c>
      <c r="T1235" s="22" t="str">
        <f aca="false">IF(R1235="","",IF(R1235&lt;=Q1235,"Yes","No"))</f>
        <v/>
      </c>
      <c r="U1235" s="22" t="str">
        <f aca="false">IF(B1235="","",TEXT(YEAR(B1235),"0"))</f>
        <v/>
      </c>
    </row>
    <row r="1236" customFormat="false" ht="15" hidden="false" customHeight="false" outlineLevel="0" collapsed="false">
      <c r="B1236" s="28"/>
      <c r="C1236" s="24" t="str">
        <f aca="false">IF(B1236="","",DATE(YEAR(B1236),MONTH(B1236),1))</f>
        <v/>
      </c>
      <c r="N1236" s="26" t="str">
        <f aca="false">IF(L1236="","",L1236*M1236)</f>
        <v/>
      </c>
      <c r="P1236" s="26" t="str">
        <f aca="false">IF(L1236="","",N1236-L1236*O1236)</f>
        <v/>
      </c>
      <c r="T1236" s="22" t="str">
        <f aca="false">IF(R1236="","",IF(R1236&lt;=Q1236,"Yes","No"))</f>
        <v/>
      </c>
      <c r="U1236" s="22" t="str">
        <f aca="false">IF(B1236="","",TEXT(YEAR(B1236),"0"))</f>
        <v/>
      </c>
    </row>
    <row r="1237" customFormat="false" ht="15" hidden="false" customHeight="false" outlineLevel="0" collapsed="false">
      <c r="B1237" s="28"/>
      <c r="C1237" s="24" t="str">
        <f aca="false">IF(B1237="","",DATE(YEAR(B1237),MONTH(B1237),1))</f>
        <v/>
      </c>
      <c r="N1237" s="26" t="str">
        <f aca="false">IF(L1237="","",L1237*M1237)</f>
        <v/>
      </c>
      <c r="P1237" s="26" t="str">
        <f aca="false">IF(L1237="","",N1237-L1237*O1237)</f>
        <v/>
      </c>
      <c r="T1237" s="22" t="str">
        <f aca="false">IF(R1237="","",IF(R1237&lt;=Q1237,"Yes","No"))</f>
        <v/>
      </c>
      <c r="U1237" s="22" t="str">
        <f aca="false">IF(B1237="","",TEXT(YEAR(B1237),"0"))</f>
        <v/>
      </c>
    </row>
    <row r="1238" customFormat="false" ht="15" hidden="false" customHeight="false" outlineLevel="0" collapsed="false">
      <c r="B1238" s="28"/>
      <c r="C1238" s="24" t="str">
        <f aca="false">IF(B1238="","",DATE(YEAR(B1238),MONTH(B1238),1))</f>
        <v/>
      </c>
      <c r="N1238" s="26" t="str">
        <f aca="false">IF(L1238="","",L1238*M1238)</f>
        <v/>
      </c>
      <c r="P1238" s="26" t="str">
        <f aca="false">IF(L1238="","",N1238-L1238*O1238)</f>
        <v/>
      </c>
      <c r="T1238" s="22" t="str">
        <f aca="false">IF(R1238="","",IF(R1238&lt;=Q1238,"Yes","No"))</f>
        <v/>
      </c>
      <c r="U1238" s="22" t="str">
        <f aca="false">IF(B1238="","",TEXT(YEAR(B1238),"0"))</f>
        <v/>
      </c>
    </row>
    <row r="1239" customFormat="false" ht="15" hidden="false" customHeight="false" outlineLevel="0" collapsed="false">
      <c r="B1239" s="28"/>
      <c r="C1239" s="24" t="str">
        <f aca="false">IF(B1239="","",DATE(YEAR(B1239),MONTH(B1239),1))</f>
        <v/>
      </c>
      <c r="N1239" s="26" t="str">
        <f aca="false">IF(L1239="","",L1239*M1239)</f>
        <v/>
      </c>
      <c r="P1239" s="26" t="str">
        <f aca="false">IF(L1239="","",N1239-L1239*O1239)</f>
        <v/>
      </c>
      <c r="T1239" s="22" t="str">
        <f aca="false">IF(R1239="","",IF(R1239&lt;=Q1239,"Yes","No"))</f>
        <v/>
      </c>
      <c r="U1239" s="22" t="str">
        <f aca="false">IF(B1239="","",TEXT(YEAR(B1239),"0"))</f>
        <v/>
      </c>
    </row>
    <row r="1240" customFormat="false" ht="15" hidden="false" customHeight="false" outlineLevel="0" collapsed="false">
      <c r="B1240" s="28"/>
      <c r="C1240" s="24" t="str">
        <f aca="false">IF(B1240="","",DATE(YEAR(B1240),MONTH(B1240),1))</f>
        <v/>
      </c>
      <c r="N1240" s="26" t="str">
        <f aca="false">IF(L1240="","",L1240*M1240)</f>
        <v/>
      </c>
      <c r="P1240" s="26" t="str">
        <f aca="false">IF(L1240="","",N1240-L1240*O1240)</f>
        <v/>
      </c>
      <c r="T1240" s="22" t="str">
        <f aca="false">IF(R1240="","",IF(R1240&lt;=Q1240,"Yes","No"))</f>
        <v/>
      </c>
      <c r="U1240" s="22" t="str">
        <f aca="false">IF(B1240="","",TEXT(YEAR(B1240),"0"))</f>
        <v/>
      </c>
    </row>
    <row r="1241" customFormat="false" ht="15" hidden="false" customHeight="false" outlineLevel="0" collapsed="false">
      <c r="B1241" s="28"/>
      <c r="C1241" s="24" t="str">
        <f aca="false">IF(B1241="","",DATE(YEAR(B1241),MONTH(B1241),1))</f>
        <v/>
      </c>
      <c r="N1241" s="26" t="str">
        <f aca="false">IF(L1241="","",L1241*M1241)</f>
        <v/>
      </c>
      <c r="P1241" s="26" t="str">
        <f aca="false">IF(L1241="","",N1241-L1241*O1241)</f>
        <v/>
      </c>
      <c r="T1241" s="22" t="str">
        <f aca="false">IF(R1241="","",IF(R1241&lt;=Q1241,"Yes","No"))</f>
        <v/>
      </c>
      <c r="U1241" s="22" t="str">
        <f aca="false">IF(B1241="","",TEXT(YEAR(B1241),"0"))</f>
        <v/>
      </c>
    </row>
    <row r="1242" customFormat="false" ht="15" hidden="false" customHeight="false" outlineLevel="0" collapsed="false">
      <c r="B1242" s="28"/>
      <c r="C1242" s="24" t="str">
        <f aca="false">IF(B1242="","",DATE(YEAR(B1242),MONTH(B1242),1))</f>
        <v/>
      </c>
      <c r="N1242" s="26" t="str">
        <f aca="false">IF(L1242="","",L1242*M1242)</f>
        <v/>
      </c>
      <c r="P1242" s="26" t="str">
        <f aca="false">IF(L1242="","",N1242-L1242*O1242)</f>
        <v/>
      </c>
      <c r="T1242" s="22" t="str">
        <f aca="false">IF(R1242="","",IF(R1242&lt;=Q1242,"Yes","No"))</f>
        <v/>
      </c>
      <c r="U1242" s="22" t="str">
        <f aca="false">IF(B1242="","",TEXT(YEAR(B1242),"0"))</f>
        <v/>
      </c>
    </row>
    <row r="1243" customFormat="false" ht="15" hidden="false" customHeight="false" outlineLevel="0" collapsed="false">
      <c r="B1243" s="28"/>
      <c r="C1243" s="24" t="str">
        <f aca="false">IF(B1243="","",DATE(YEAR(B1243),MONTH(B1243),1))</f>
        <v/>
      </c>
      <c r="N1243" s="26" t="str">
        <f aca="false">IF(L1243="","",L1243*M1243)</f>
        <v/>
      </c>
      <c r="P1243" s="26" t="str">
        <f aca="false">IF(L1243="","",N1243-L1243*O1243)</f>
        <v/>
      </c>
      <c r="T1243" s="22" t="str">
        <f aca="false">IF(R1243="","",IF(R1243&lt;=Q1243,"Yes","No"))</f>
        <v/>
      </c>
      <c r="U1243" s="22" t="str">
        <f aca="false">IF(B1243="","",TEXT(YEAR(B1243),"0"))</f>
        <v/>
      </c>
    </row>
    <row r="1244" customFormat="false" ht="15" hidden="false" customHeight="false" outlineLevel="0" collapsed="false">
      <c r="B1244" s="28"/>
      <c r="C1244" s="24" t="str">
        <f aca="false">IF(B1244="","",DATE(YEAR(B1244),MONTH(B1244),1))</f>
        <v/>
      </c>
      <c r="N1244" s="26" t="str">
        <f aca="false">IF(L1244="","",L1244*M1244)</f>
        <v/>
      </c>
      <c r="P1244" s="26" t="str">
        <f aca="false">IF(L1244="","",N1244-L1244*O1244)</f>
        <v/>
      </c>
      <c r="T1244" s="22" t="str">
        <f aca="false">IF(R1244="","",IF(R1244&lt;=Q1244,"Yes","No"))</f>
        <v/>
      </c>
      <c r="U1244" s="22" t="str">
        <f aca="false">IF(B1244="","",TEXT(YEAR(B1244),"0"))</f>
        <v/>
      </c>
    </row>
    <row r="1245" customFormat="false" ht="15" hidden="false" customHeight="false" outlineLevel="0" collapsed="false">
      <c r="B1245" s="28"/>
      <c r="C1245" s="24" t="str">
        <f aca="false">IF(B1245="","",DATE(YEAR(B1245),MONTH(B1245),1))</f>
        <v/>
      </c>
      <c r="N1245" s="26" t="str">
        <f aca="false">IF(L1245="","",L1245*M1245)</f>
        <v/>
      </c>
      <c r="P1245" s="26" t="str">
        <f aca="false">IF(L1245="","",N1245-L1245*O1245)</f>
        <v/>
      </c>
      <c r="T1245" s="22" t="str">
        <f aca="false">IF(R1245="","",IF(R1245&lt;=Q1245,"Yes","No"))</f>
        <v/>
      </c>
      <c r="U1245" s="22" t="str">
        <f aca="false">IF(B1245="","",TEXT(YEAR(B1245),"0"))</f>
        <v/>
      </c>
    </row>
    <row r="1246" customFormat="false" ht="15" hidden="false" customHeight="false" outlineLevel="0" collapsed="false">
      <c r="B1246" s="28"/>
      <c r="C1246" s="24" t="str">
        <f aca="false">IF(B1246="","",DATE(YEAR(B1246),MONTH(B1246),1))</f>
        <v/>
      </c>
      <c r="N1246" s="26" t="str">
        <f aca="false">IF(L1246="","",L1246*M1246)</f>
        <v/>
      </c>
      <c r="P1246" s="26" t="str">
        <f aca="false">IF(L1246="","",N1246-L1246*O1246)</f>
        <v/>
      </c>
      <c r="T1246" s="22" t="str">
        <f aca="false">IF(R1246="","",IF(R1246&lt;=Q1246,"Yes","No"))</f>
        <v/>
      </c>
      <c r="U1246" s="22" t="str">
        <f aca="false">IF(B1246="","",TEXT(YEAR(B1246),"0"))</f>
        <v/>
      </c>
    </row>
    <row r="1247" customFormat="false" ht="15" hidden="false" customHeight="false" outlineLevel="0" collapsed="false">
      <c r="B1247" s="28"/>
      <c r="C1247" s="24" t="str">
        <f aca="false">IF(B1247="","",DATE(YEAR(B1247),MONTH(B1247),1))</f>
        <v/>
      </c>
      <c r="N1247" s="26" t="str">
        <f aca="false">IF(L1247="","",L1247*M1247)</f>
        <v/>
      </c>
      <c r="P1247" s="26" t="str">
        <f aca="false">IF(L1247="","",N1247-L1247*O1247)</f>
        <v/>
      </c>
      <c r="T1247" s="22" t="str">
        <f aca="false">IF(R1247="","",IF(R1247&lt;=Q1247,"Yes","No"))</f>
        <v/>
      </c>
      <c r="U1247" s="22" t="str">
        <f aca="false">IF(B1247="","",TEXT(YEAR(B1247),"0"))</f>
        <v/>
      </c>
    </row>
    <row r="1248" customFormat="false" ht="15" hidden="false" customHeight="false" outlineLevel="0" collapsed="false">
      <c r="B1248" s="28"/>
      <c r="C1248" s="24" t="str">
        <f aca="false">IF(B1248="","",DATE(YEAR(B1248),MONTH(B1248),1))</f>
        <v/>
      </c>
      <c r="N1248" s="26" t="str">
        <f aca="false">IF(L1248="","",L1248*M1248)</f>
        <v/>
      </c>
      <c r="P1248" s="26" t="str">
        <f aca="false">IF(L1248="","",N1248-L1248*O1248)</f>
        <v/>
      </c>
      <c r="T1248" s="22" t="str">
        <f aca="false">IF(R1248="","",IF(R1248&lt;=Q1248,"Yes","No"))</f>
        <v/>
      </c>
      <c r="U1248" s="22" t="str">
        <f aca="false">IF(B1248="","",TEXT(YEAR(B1248),"0"))</f>
        <v/>
      </c>
    </row>
    <row r="1249" customFormat="false" ht="15" hidden="false" customHeight="false" outlineLevel="0" collapsed="false">
      <c r="B1249" s="28"/>
      <c r="C1249" s="24" t="str">
        <f aca="false">IF(B1249="","",DATE(YEAR(B1249),MONTH(B1249),1))</f>
        <v/>
      </c>
      <c r="N1249" s="26" t="str">
        <f aca="false">IF(L1249="","",L1249*M1249)</f>
        <v/>
      </c>
      <c r="P1249" s="26" t="str">
        <f aca="false">IF(L1249="","",N1249-L1249*O1249)</f>
        <v/>
      </c>
      <c r="T1249" s="22" t="str">
        <f aca="false">IF(R1249="","",IF(R1249&lt;=Q1249,"Yes","No"))</f>
        <v/>
      </c>
      <c r="U1249" s="22" t="str">
        <f aca="false">IF(B1249="","",TEXT(YEAR(B1249),"0"))</f>
        <v/>
      </c>
    </row>
    <row r="1250" customFormat="false" ht="15" hidden="false" customHeight="false" outlineLevel="0" collapsed="false">
      <c r="B1250" s="28"/>
      <c r="C1250" s="24" t="str">
        <f aca="false">IF(B1250="","",DATE(YEAR(B1250),MONTH(B1250),1))</f>
        <v/>
      </c>
      <c r="N1250" s="26" t="str">
        <f aca="false">IF(L1250="","",L1250*M1250)</f>
        <v/>
      </c>
      <c r="P1250" s="26" t="str">
        <f aca="false">IF(L1250="","",N1250-L1250*O1250)</f>
        <v/>
      </c>
      <c r="T1250" s="22" t="str">
        <f aca="false">IF(R1250="","",IF(R1250&lt;=Q1250,"Yes","No"))</f>
        <v/>
      </c>
      <c r="U1250" s="22" t="str">
        <f aca="false">IF(B1250="","",TEXT(YEAR(B1250),"0"))</f>
        <v/>
      </c>
    </row>
    <row r="1251" customFormat="false" ht="15" hidden="false" customHeight="false" outlineLevel="0" collapsed="false">
      <c r="B1251" s="28"/>
      <c r="C1251" s="24" t="str">
        <f aca="false">IF(B1251="","",DATE(YEAR(B1251),MONTH(B1251),1))</f>
        <v/>
      </c>
      <c r="N1251" s="26" t="str">
        <f aca="false">IF(L1251="","",L1251*M1251)</f>
        <v/>
      </c>
      <c r="P1251" s="26" t="str">
        <f aca="false">IF(L1251="","",N1251-L1251*O1251)</f>
        <v/>
      </c>
      <c r="T1251" s="22" t="str">
        <f aca="false">IF(R1251="","",IF(R1251&lt;=Q1251,"Yes","No"))</f>
        <v/>
      </c>
      <c r="U1251" s="22" t="str">
        <f aca="false">IF(B1251="","",TEXT(YEAR(B1251),"0"))</f>
        <v/>
      </c>
    </row>
    <row r="1252" customFormat="false" ht="15" hidden="false" customHeight="false" outlineLevel="0" collapsed="false">
      <c r="B1252" s="28"/>
      <c r="C1252" s="24" t="str">
        <f aca="false">IF(B1252="","",DATE(YEAR(B1252),MONTH(B1252),1))</f>
        <v/>
      </c>
      <c r="N1252" s="26" t="str">
        <f aca="false">IF(L1252="","",L1252*M1252)</f>
        <v/>
      </c>
      <c r="P1252" s="26" t="str">
        <f aca="false">IF(L1252="","",N1252-L1252*O1252)</f>
        <v/>
      </c>
      <c r="T1252" s="22" t="str">
        <f aca="false">IF(R1252="","",IF(R1252&lt;=Q1252,"Yes","No"))</f>
        <v/>
      </c>
      <c r="U1252" s="22" t="str">
        <f aca="false">IF(B1252="","",TEXT(YEAR(B1252),"0"))</f>
        <v/>
      </c>
    </row>
    <row r="1253" customFormat="false" ht="15" hidden="false" customHeight="false" outlineLevel="0" collapsed="false">
      <c r="B1253" s="28"/>
      <c r="C1253" s="24" t="str">
        <f aca="false">IF(B1253="","",DATE(YEAR(B1253),MONTH(B1253),1))</f>
        <v/>
      </c>
      <c r="N1253" s="26" t="str">
        <f aca="false">IF(L1253="","",L1253*M1253)</f>
        <v/>
      </c>
      <c r="P1253" s="26" t="str">
        <f aca="false">IF(L1253="","",N1253-L1253*O1253)</f>
        <v/>
      </c>
      <c r="T1253" s="22" t="str">
        <f aca="false">IF(R1253="","",IF(R1253&lt;=Q1253,"Yes","No"))</f>
        <v/>
      </c>
      <c r="U1253" s="22" t="str">
        <f aca="false">IF(B1253="","",TEXT(YEAR(B1253),"0"))</f>
        <v/>
      </c>
    </row>
    <row r="1254" customFormat="false" ht="15" hidden="false" customHeight="false" outlineLevel="0" collapsed="false">
      <c r="B1254" s="28"/>
      <c r="C1254" s="24" t="str">
        <f aca="false">IF(B1254="","",DATE(YEAR(B1254),MONTH(B1254),1))</f>
        <v/>
      </c>
      <c r="N1254" s="26" t="str">
        <f aca="false">IF(L1254="","",L1254*M1254)</f>
        <v/>
      </c>
      <c r="P1254" s="26" t="str">
        <f aca="false">IF(L1254="","",N1254-L1254*O1254)</f>
        <v/>
      </c>
      <c r="T1254" s="22" t="str">
        <f aca="false">IF(R1254="","",IF(R1254&lt;=Q1254,"Yes","No"))</f>
        <v/>
      </c>
      <c r="U1254" s="22" t="str">
        <f aca="false">IF(B1254="","",TEXT(YEAR(B1254),"0"))</f>
        <v/>
      </c>
    </row>
    <row r="1255" customFormat="false" ht="15" hidden="false" customHeight="false" outlineLevel="0" collapsed="false">
      <c r="B1255" s="28"/>
      <c r="C1255" s="24" t="str">
        <f aca="false">IF(B1255="","",DATE(YEAR(B1255),MONTH(B1255),1))</f>
        <v/>
      </c>
      <c r="N1255" s="26" t="str">
        <f aca="false">IF(L1255="","",L1255*M1255)</f>
        <v/>
      </c>
      <c r="P1255" s="26" t="str">
        <f aca="false">IF(L1255="","",N1255-L1255*O1255)</f>
        <v/>
      </c>
      <c r="T1255" s="22" t="str">
        <f aca="false">IF(R1255="","",IF(R1255&lt;=Q1255,"Yes","No"))</f>
        <v/>
      </c>
      <c r="U1255" s="22" t="str">
        <f aca="false">IF(B1255="","",TEXT(YEAR(B1255),"0"))</f>
        <v/>
      </c>
    </row>
    <row r="1256" customFormat="false" ht="15" hidden="false" customHeight="false" outlineLevel="0" collapsed="false">
      <c r="B1256" s="28"/>
      <c r="C1256" s="24" t="str">
        <f aca="false">IF(B1256="","",DATE(YEAR(B1256),MONTH(B1256),1))</f>
        <v/>
      </c>
      <c r="N1256" s="26" t="str">
        <f aca="false">IF(L1256="","",L1256*M1256)</f>
        <v/>
      </c>
      <c r="P1256" s="26" t="str">
        <f aca="false">IF(L1256="","",N1256-L1256*O1256)</f>
        <v/>
      </c>
      <c r="T1256" s="22" t="str">
        <f aca="false">IF(R1256="","",IF(R1256&lt;=Q1256,"Yes","No"))</f>
        <v/>
      </c>
      <c r="U1256" s="22" t="str">
        <f aca="false">IF(B1256="","",TEXT(YEAR(B1256),"0"))</f>
        <v/>
      </c>
    </row>
    <row r="1257" customFormat="false" ht="15" hidden="false" customHeight="false" outlineLevel="0" collapsed="false">
      <c r="B1257" s="28"/>
      <c r="C1257" s="24" t="str">
        <f aca="false">IF(B1257="","",DATE(YEAR(B1257),MONTH(B1257),1))</f>
        <v/>
      </c>
      <c r="N1257" s="26" t="str">
        <f aca="false">IF(L1257="","",L1257*M1257)</f>
        <v/>
      </c>
      <c r="P1257" s="26" t="str">
        <f aca="false">IF(L1257="","",N1257-L1257*O1257)</f>
        <v/>
      </c>
      <c r="T1257" s="22" t="str">
        <f aca="false">IF(R1257="","",IF(R1257&lt;=Q1257,"Yes","No"))</f>
        <v/>
      </c>
      <c r="U1257" s="22" t="str">
        <f aca="false">IF(B1257="","",TEXT(YEAR(B1257),"0"))</f>
        <v/>
      </c>
    </row>
    <row r="1258" customFormat="false" ht="15" hidden="false" customHeight="false" outlineLevel="0" collapsed="false">
      <c r="B1258" s="28"/>
      <c r="C1258" s="24" t="str">
        <f aca="false">IF(B1258="","",DATE(YEAR(B1258),MONTH(B1258),1))</f>
        <v/>
      </c>
      <c r="N1258" s="26" t="str">
        <f aca="false">IF(L1258="","",L1258*M1258)</f>
        <v/>
      </c>
      <c r="P1258" s="26" t="str">
        <f aca="false">IF(L1258="","",N1258-L1258*O1258)</f>
        <v/>
      </c>
      <c r="T1258" s="22" t="str">
        <f aca="false">IF(R1258="","",IF(R1258&lt;=Q1258,"Yes","No"))</f>
        <v/>
      </c>
      <c r="U1258" s="22" t="str">
        <f aca="false">IF(B1258="","",TEXT(YEAR(B1258),"0"))</f>
        <v/>
      </c>
    </row>
    <row r="1259" customFormat="false" ht="15" hidden="false" customHeight="false" outlineLevel="0" collapsed="false">
      <c r="B1259" s="28"/>
      <c r="C1259" s="24" t="str">
        <f aca="false">IF(B1259="","",DATE(YEAR(B1259),MONTH(B1259),1))</f>
        <v/>
      </c>
      <c r="N1259" s="26" t="str">
        <f aca="false">IF(L1259="","",L1259*M1259)</f>
        <v/>
      </c>
      <c r="P1259" s="26" t="str">
        <f aca="false">IF(L1259="","",N1259-L1259*O1259)</f>
        <v/>
      </c>
      <c r="T1259" s="22" t="str">
        <f aca="false">IF(R1259="","",IF(R1259&lt;=Q1259,"Yes","No"))</f>
        <v/>
      </c>
      <c r="U1259" s="22" t="str">
        <f aca="false">IF(B1259="","",TEXT(YEAR(B1259),"0"))</f>
        <v/>
      </c>
    </row>
    <row r="1260" customFormat="false" ht="15" hidden="false" customHeight="false" outlineLevel="0" collapsed="false">
      <c r="B1260" s="28"/>
      <c r="C1260" s="24" t="str">
        <f aca="false">IF(B1260="","",DATE(YEAR(B1260),MONTH(B1260),1))</f>
        <v/>
      </c>
      <c r="N1260" s="26" t="str">
        <f aca="false">IF(L1260="","",L1260*M1260)</f>
        <v/>
      </c>
      <c r="P1260" s="26" t="str">
        <f aca="false">IF(L1260="","",N1260-L1260*O1260)</f>
        <v/>
      </c>
      <c r="T1260" s="22" t="str">
        <f aca="false">IF(R1260="","",IF(R1260&lt;=Q1260,"Yes","No"))</f>
        <v/>
      </c>
      <c r="U1260" s="22" t="str">
        <f aca="false">IF(B1260="","",TEXT(YEAR(B1260),"0"))</f>
        <v/>
      </c>
    </row>
    <row r="1261" customFormat="false" ht="15" hidden="false" customHeight="false" outlineLevel="0" collapsed="false">
      <c r="B1261" s="28"/>
      <c r="C1261" s="24" t="str">
        <f aca="false">IF(B1261="","",DATE(YEAR(B1261),MONTH(B1261),1))</f>
        <v/>
      </c>
      <c r="N1261" s="26" t="str">
        <f aca="false">IF(L1261="","",L1261*M1261)</f>
        <v/>
      </c>
      <c r="P1261" s="26" t="str">
        <f aca="false">IF(L1261="","",N1261-L1261*O1261)</f>
        <v/>
      </c>
      <c r="T1261" s="22" t="str">
        <f aca="false">IF(R1261="","",IF(R1261&lt;=Q1261,"Yes","No"))</f>
        <v/>
      </c>
      <c r="U1261" s="22" t="str">
        <f aca="false">IF(B1261="","",TEXT(YEAR(B1261),"0"))</f>
        <v/>
      </c>
    </row>
    <row r="1262" customFormat="false" ht="15" hidden="false" customHeight="false" outlineLevel="0" collapsed="false">
      <c r="B1262" s="28"/>
      <c r="C1262" s="24" t="str">
        <f aca="false">IF(B1262="","",DATE(YEAR(B1262),MONTH(B1262),1))</f>
        <v/>
      </c>
      <c r="N1262" s="26" t="str">
        <f aca="false">IF(L1262="","",L1262*M1262)</f>
        <v/>
      </c>
      <c r="P1262" s="26" t="str">
        <f aca="false">IF(L1262="","",N1262-L1262*O1262)</f>
        <v/>
      </c>
      <c r="T1262" s="22" t="str">
        <f aca="false">IF(R1262="","",IF(R1262&lt;=Q1262,"Yes","No"))</f>
        <v/>
      </c>
      <c r="U1262" s="22" t="str">
        <f aca="false">IF(B1262="","",TEXT(YEAR(B1262),"0"))</f>
        <v/>
      </c>
    </row>
    <row r="1263" customFormat="false" ht="15" hidden="false" customHeight="false" outlineLevel="0" collapsed="false">
      <c r="B1263" s="28"/>
      <c r="C1263" s="24" t="str">
        <f aca="false">IF(B1263="","",DATE(YEAR(B1263),MONTH(B1263),1))</f>
        <v/>
      </c>
      <c r="N1263" s="26" t="str">
        <f aca="false">IF(L1263="","",L1263*M1263)</f>
        <v/>
      </c>
      <c r="P1263" s="26" t="str">
        <f aca="false">IF(L1263="","",N1263-L1263*O1263)</f>
        <v/>
      </c>
      <c r="T1263" s="22" t="str">
        <f aca="false">IF(R1263="","",IF(R1263&lt;=Q1263,"Yes","No"))</f>
        <v/>
      </c>
      <c r="U1263" s="22" t="str">
        <f aca="false">IF(B1263="","",TEXT(YEAR(B1263),"0"))</f>
        <v/>
      </c>
    </row>
    <row r="1264" customFormat="false" ht="15" hidden="false" customHeight="false" outlineLevel="0" collapsed="false">
      <c r="B1264" s="28"/>
      <c r="C1264" s="24" t="str">
        <f aca="false">IF(B1264="","",DATE(YEAR(B1264),MONTH(B1264),1))</f>
        <v/>
      </c>
      <c r="N1264" s="26" t="str">
        <f aca="false">IF(L1264="","",L1264*M1264)</f>
        <v/>
      </c>
      <c r="P1264" s="26" t="str">
        <f aca="false">IF(L1264="","",N1264-L1264*O1264)</f>
        <v/>
      </c>
      <c r="T1264" s="22" t="str">
        <f aca="false">IF(R1264="","",IF(R1264&lt;=Q1264,"Yes","No"))</f>
        <v/>
      </c>
      <c r="U1264" s="22" t="str">
        <f aca="false">IF(B1264="","",TEXT(YEAR(B1264),"0"))</f>
        <v/>
      </c>
    </row>
    <row r="1265" customFormat="false" ht="15" hidden="false" customHeight="false" outlineLevel="0" collapsed="false">
      <c r="B1265" s="28"/>
      <c r="C1265" s="24" t="str">
        <f aca="false">IF(B1265="","",DATE(YEAR(B1265),MONTH(B1265),1))</f>
        <v/>
      </c>
      <c r="N1265" s="26" t="str">
        <f aca="false">IF(L1265="","",L1265*M1265)</f>
        <v/>
      </c>
      <c r="P1265" s="26" t="str">
        <f aca="false">IF(L1265="","",N1265-L1265*O1265)</f>
        <v/>
      </c>
      <c r="T1265" s="22" t="str">
        <f aca="false">IF(R1265="","",IF(R1265&lt;=Q1265,"Yes","No"))</f>
        <v/>
      </c>
      <c r="U1265" s="22" t="str">
        <f aca="false">IF(B1265="","",TEXT(YEAR(B1265),"0"))</f>
        <v/>
      </c>
    </row>
    <row r="1266" customFormat="false" ht="15" hidden="false" customHeight="false" outlineLevel="0" collapsed="false">
      <c r="B1266" s="28"/>
      <c r="C1266" s="24" t="str">
        <f aca="false">IF(B1266="","",DATE(YEAR(B1266),MONTH(B1266),1))</f>
        <v/>
      </c>
      <c r="N1266" s="26" t="str">
        <f aca="false">IF(L1266="","",L1266*M1266)</f>
        <v/>
      </c>
      <c r="P1266" s="26" t="str">
        <f aca="false">IF(L1266="","",N1266-L1266*O1266)</f>
        <v/>
      </c>
      <c r="T1266" s="22" t="str">
        <f aca="false">IF(R1266="","",IF(R1266&lt;=Q1266,"Yes","No"))</f>
        <v/>
      </c>
      <c r="U1266" s="22" t="str">
        <f aca="false">IF(B1266="","",TEXT(YEAR(B1266),"0"))</f>
        <v/>
      </c>
    </row>
    <row r="1267" customFormat="false" ht="15" hidden="false" customHeight="false" outlineLevel="0" collapsed="false">
      <c r="B1267" s="28"/>
      <c r="C1267" s="24" t="str">
        <f aca="false">IF(B1267="","",DATE(YEAR(B1267),MONTH(B1267),1))</f>
        <v/>
      </c>
      <c r="N1267" s="26" t="str">
        <f aca="false">IF(L1267="","",L1267*M1267)</f>
        <v/>
      </c>
      <c r="P1267" s="26" t="str">
        <f aca="false">IF(L1267="","",N1267-L1267*O1267)</f>
        <v/>
      </c>
      <c r="T1267" s="22" t="str">
        <f aca="false">IF(R1267="","",IF(R1267&lt;=Q1267,"Yes","No"))</f>
        <v/>
      </c>
      <c r="U1267" s="22" t="str">
        <f aca="false">IF(B1267="","",TEXT(YEAR(B1267),"0"))</f>
        <v/>
      </c>
    </row>
    <row r="1268" customFormat="false" ht="15" hidden="false" customHeight="false" outlineLevel="0" collapsed="false">
      <c r="B1268" s="28"/>
      <c r="C1268" s="24" t="str">
        <f aca="false">IF(B1268="","",DATE(YEAR(B1268),MONTH(B1268),1))</f>
        <v/>
      </c>
      <c r="N1268" s="26" t="str">
        <f aca="false">IF(L1268="","",L1268*M1268)</f>
        <v/>
      </c>
      <c r="P1268" s="26" t="str">
        <f aca="false">IF(L1268="","",N1268-L1268*O1268)</f>
        <v/>
      </c>
      <c r="T1268" s="22" t="str">
        <f aca="false">IF(R1268="","",IF(R1268&lt;=Q1268,"Yes","No"))</f>
        <v/>
      </c>
      <c r="U1268" s="22" t="str">
        <f aca="false">IF(B1268="","",TEXT(YEAR(B1268),"0"))</f>
        <v/>
      </c>
    </row>
    <row r="1269" customFormat="false" ht="15" hidden="false" customHeight="false" outlineLevel="0" collapsed="false">
      <c r="B1269" s="28"/>
      <c r="C1269" s="24" t="str">
        <f aca="false">IF(B1269="","",DATE(YEAR(B1269),MONTH(B1269),1))</f>
        <v/>
      </c>
      <c r="N1269" s="26" t="str">
        <f aca="false">IF(L1269="","",L1269*M1269)</f>
        <v/>
      </c>
      <c r="P1269" s="26" t="str">
        <f aca="false">IF(L1269="","",N1269-L1269*O1269)</f>
        <v/>
      </c>
      <c r="T1269" s="22" t="str">
        <f aca="false">IF(R1269="","",IF(R1269&lt;=Q1269,"Yes","No"))</f>
        <v/>
      </c>
      <c r="U1269" s="22" t="str">
        <f aca="false">IF(B1269="","",TEXT(YEAR(B1269),"0"))</f>
        <v/>
      </c>
    </row>
    <row r="1270" customFormat="false" ht="15" hidden="false" customHeight="false" outlineLevel="0" collapsed="false">
      <c r="B1270" s="28"/>
      <c r="C1270" s="24" t="str">
        <f aca="false">IF(B1270="","",DATE(YEAR(B1270),MONTH(B1270),1))</f>
        <v/>
      </c>
      <c r="N1270" s="26" t="str">
        <f aca="false">IF(L1270="","",L1270*M1270)</f>
        <v/>
      </c>
      <c r="P1270" s="26" t="str">
        <f aca="false">IF(L1270="","",N1270-L1270*O1270)</f>
        <v/>
      </c>
      <c r="T1270" s="22" t="str">
        <f aca="false">IF(R1270="","",IF(R1270&lt;=Q1270,"Yes","No"))</f>
        <v/>
      </c>
      <c r="U1270" s="22" t="str">
        <f aca="false">IF(B1270="","",TEXT(YEAR(B1270),"0"))</f>
        <v/>
      </c>
    </row>
    <row r="1271" customFormat="false" ht="15" hidden="false" customHeight="false" outlineLevel="0" collapsed="false">
      <c r="B1271" s="28"/>
      <c r="C1271" s="24" t="str">
        <f aca="false">IF(B1271="","",DATE(YEAR(B1271),MONTH(B1271),1))</f>
        <v/>
      </c>
      <c r="N1271" s="26" t="str">
        <f aca="false">IF(L1271="","",L1271*M1271)</f>
        <v/>
      </c>
      <c r="P1271" s="26" t="str">
        <f aca="false">IF(L1271="","",N1271-L1271*O1271)</f>
        <v/>
      </c>
      <c r="T1271" s="22" t="str">
        <f aca="false">IF(R1271="","",IF(R1271&lt;=Q1271,"Yes","No"))</f>
        <v/>
      </c>
      <c r="U1271" s="22" t="str">
        <f aca="false">IF(B1271="","",TEXT(YEAR(B1271),"0"))</f>
        <v/>
      </c>
    </row>
    <row r="1272" customFormat="false" ht="15" hidden="false" customHeight="false" outlineLevel="0" collapsed="false">
      <c r="B1272" s="28"/>
      <c r="C1272" s="24" t="str">
        <f aca="false">IF(B1272="","",DATE(YEAR(B1272),MONTH(B1272),1))</f>
        <v/>
      </c>
      <c r="N1272" s="26" t="str">
        <f aca="false">IF(L1272="","",L1272*M1272)</f>
        <v/>
      </c>
      <c r="P1272" s="26" t="str">
        <f aca="false">IF(L1272="","",N1272-L1272*O1272)</f>
        <v/>
      </c>
      <c r="T1272" s="22" t="str">
        <f aca="false">IF(R1272="","",IF(R1272&lt;=Q1272,"Yes","No"))</f>
        <v/>
      </c>
      <c r="U1272" s="22" t="str">
        <f aca="false">IF(B1272="","",TEXT(YEAR(B1272),"0"))</f>
        <v/>
      </c>
    </row>
    <row r="1273" customFormat="false" ht="15" hidden="false" customHeight="false" outlineLevel="0" collapsed="false">
      <c r="B1273" s="28"/>
      <c r="C1273" s="24" t="str">
        <f aca="false">IF(B1273="","",DATE(YEAR(B1273),MONTH(B1273),1))</f>
        <v/>
      </c>
      <c r="N1273" s="26" t="str">
        <f aca="false">IF(L1273="","",L1273*M1273)</f>
        <v/>
      </c>
      <c r="P1273" s="26" t="str">
        <f aca="false">IF(L1273="","",N1273-L1273*O1273)</f>
        <v/>
      </c>
      <c r="T1273" s="22" t="str">
        <f aca="false">IF(R1273="","",IF(R1273&lt;=Q1273,"Yes","No"))</f>
        <v/>
      </c>
      <c r="U1273" s="22" t="str">
        <f aca="false">IF(B1273="","",TEXT(YEAR(B1273),"0"))</f>
        <v/>
      </c>
    </row>
    <row r="1274" customFormat="false" ht="15" hidden="false" customHeight="false" outlineLevel="0" collapsed="false">
      <c r="B1274" s="28"/>
      <c r="C1274" s="24" t="str">
        <f aca="false">IF(B1274="","",DATE(YEAR(B1274),MONTH(B1274),1))</f>
        <v/>
      </c>
      <c r="N1274" s="26" t="str">
        <f aca="false">IF(L1274="","",L1274*M1274)</f>
        <v/>
      </c>
      <c r="P1274" s="26" t="str">
        <f aca="false">IF(L1274="","",N1274-L1274*O1274)</f>
        <v/>
      </c>
      <c r="T1274" s="22" t="str">
        <f aca="false">IF(R1274="","",IF(R1274&lt;=Q1274,"Yes","No"))</f>
        <v/>
      </c>
      <c r="U1274" s="22" t="str">
        <f aca="false">IF(B1274="","",TEXT(YEAR(B1274),"0"))</f>
        <v/>
      </c>
    </row>
    <row r="1275" customFormat="false" ht="15" hidden="false" customHeight="false" outlineLevel="0" collapsed="false">
      <c r="B1275" s="28"/>
      <c r="C1275" s="24" t="str">
        <f aca="false">IF(B1275="","",DATE(YEAR(B1275),MONTH(B1275),1))</f>
        <v/>
      </c>
      <c r="N1275" s="26" t="str">
        <f aca="false">IF(L1275="","",L1275*M1275)</f>
        <v/>
      </c>
      <c r="P1275" s="26" t="str">
        <f aca="false">IF(L1275="","",N1275-L1275*O1275)</f>
        <v/>
      </c>
      <c r="T1275" s="22" t="str">
        <f aca="false">IF(R1275="","",IF(R1275&lt;=Q1275,"Yes","No"))</f>
        <v/>
      </c>
      <c r="U1275" s="22" t="str">
        <f aca="false">IF(B1275="","",TEXT(YEAR(B1275),"0"))</f>
        <v/>
      </c>
    </row>
    <row r="1276" customFormat="false" ht="15" hidden="false" customHeight="false" outlineLevel="0" collapsed="false">
      <c r="B1276" s="28"/>
      <c r="C1276" s="24" t="str">
        <f aca="false">IF(B1276="","",DATE(YEAR(B1276),MONTH(B1276),1))</f>
        <v/>
      </c>
      <c r="N1276" s="26" t="str">
        <f aca="false">IF(L1276="","",L1276*M1276)</f>
        <v/>
      </c>
      <c r="P1276" s="26" t="str">
        <f aca="false">IF(L1276="","",N1276-L1276*O1276)</f>
        <v/>
      </c>
      <c r="T1276" s="22" t="str">
        <f aca="false">IF(R1276="","",IF(R1276&lt;=Q1276,"Yes","No"))</f>
        <v/>
      </c>
      <c r="U1276" s="22" t="str">
        <f aca="false">IF(B1276="","",TEXT(YEAR(B1276),"0"))</f>
        <v/>
      </c>
    </row>
    <row r="1277" customFormat="false" ht="15" hidden="false" customHeight="false" outlineLevel="0" collapsed="false">
      <c r="B1277" s="28"/>
      <c r="C1277" s="24" t="str">
        <f aca="false">IF(B1277="","",DATE(YEAR(B1277),MONTH(B1277),1))</f>
        <v/>
      </c>
      <c r="N1277" s="26" t="str">
        <f aca="false">IF(L1277="","",L1277*M1277)</f>
        <v/>
      </c>
      <c r="P1277" s="26" t="str">
        <f aca="false">IF(L1277="","",N1277-L1277*O1277)</f>
        <v/>
      </c>
      <c r="T1277" s="22" t="str">
        <f aca="false">IF(R1277="","",IF(R1277&lt;=Q1277,"Yes","No"))</f>
        <v/>
      </c>
      <c r="U1277" s="22" t="str">
        <f aca="false">IF(B1277="","",TEXT(YEAR(B1277),"0"))</f>
        <v/>
      </c>
    </row>
    <row r="1278" customFormat="false" ht="15" hidden="false" customHeight="false" outlineLevel="0" collapsed="false">
      <c r="B1278" s="28"/>
      <c r="C1278" s="24" t="str">
        <f aca="false">IF(B1278="","",DATE(YEAR(B1278),MONTH(B1278),1))</f>
        <v/>
      </c>
      <c r="N1278" s="26" t="str">
        <f aca="false">IF(L1278="","",L1278*M1278)</f>
        <v/>
      </c>
      <c r="P1278" s="26" t="str">
        <f aca="false">IF(L1278="","",N1278-L1278*O1278)</f>
        <v/>
      </c>
      <c r="T1278" s="22" t="str">
        <f aca="false">IF(R1278="","",IF(R1278&lt;=Q1278,"Yes","No"))</f>
        <v/>
      </c>
      <c r="U1278" s="22" t="str">
        <f aca="false">IF(B1278="","",TEXT(YEAR(B1278),"0"))</f>
        <v/>
      </c>
    </row>
    <row r="1279" customFormat="false" ht="15" hidden="false" customHeight="false" outlineLevel="0" collapsed="false">
      <c r="B1279" s="28"/>
      <c r="C1279" s="24" t="str">
        <f aca="false">IF(B1279="","",DATE(YEAR(B1279),MONTH(B1279),1))</f>
        <v/>
      </c>
      <c r="N1279" s="26" t="str">
        <f aca="false">IF(L1279="","",L1279*M1279)</f>
        <v/>
      </c>
      <c r="P1279" s="26" t="str">
        <f aca="false">IF(L1279="","",N1279-L1279*O1279)</f>
        <v/>
      </c>
      <c r="T1279" s="22" t="str">
        <f aca="false">IF(R1279="","",IF(R1279&lt;=Q1279,"Yes","No"))</f>
        <v/>
      </c>
      <c r="U1279" s="22" t="str">
        <f aca="false">IF(B1279="","",TEXT(YEAR(B1279),"0"))</f>
        <v/>
      </c>
    </row>
    <row r="1280" customFormat="false" ht="15" hidden="false" customHeight="false" outlineLevel="0" collapsed="false">
      <c r="B1280" s="28"/>
      <c r="C1280" s="24" t="str">
        <f aca="false">IF(B1280="","",DATE(YEAR(B1280),MONTH(B1280),1))</f>
        <v/>
      </c>
      <c r="N1280" s="26" t="str">
        <f aca="false">IF(L1280="","",L1280*M1280)</f>
        <v/>
      </c>
      <c r="P1280" s="26" t="str">
        <f aca="false">IF(L1280="","",N1280-L1280*O1280)</f>
        <v/>
      </c>
      <c r="T1280" s="22" t="str">
        <f aca="false">IF(R1280="","",IF(R1280&lt;=Q1280,"Yes","No"))</f>
        <v/>
      </c>
      <c r="U1280" s="22" t="str">
        <f aca="false">IF(B1280="","",TEXT(YEAR(B1280),"0"))</f>
        <v/>
      </c>
    </row>
    <row r="1281" customFormat="false" ht="15" hidden="false" customHeight="false" outlineLevel="0" collapsed="false">
      <c r="B1281" s="28"/>
      <c r="C1281" s="24" t="str">
        <f aca="false">IF(B1281="","",DATE(YEAR(B1281),MONTH(B1281),1))</f>
        <v/>
      </c>
      <c r="N1281" s="26" t="str">
        <f aca="false">IF(L1281="","",L1281*M1281)</f>
        <v/>
      </c>
      <c r="P1281" s="26" t="str">
        <f aca="false">IF(L1281="","",N1281-L1281*O1281)</f>
        <v/>
      </c>
      <c r="T1281" s="22" t="str">
        <f aca="false">IF(R1281="","",IF(R1281&lt;=Q1281,"Yes","No"))</f>
        <v/>
      </c>
      <c r="U1281" s="22" t="str">
        <f aca="false">IF(B1281="","",TEXT(YEAR(B1281),"0"))</f>
        <v/>
      </c>
    </row>
    <row r="1282" customFormat="false" ht="15" hidden="false" customHeight="false" outlineLevel="0" collapsed="false">
      <c r="B1282" s="28"/>
      <c r="C1282" s="24" t="str">
        <f aca="false">IF(B1282="","",DATE(YEAR(B1282),MONTH(B1282),1))</f>
        <v/>
      </c>
      <c r="N1282" s="26" t="str">
        <f aca="false">IF(L1282="","",L1282*M1282)</f>
        <v/>
      </c>
      <c r="P1282" s="26" t="str">
        <f aca="false">IF(L1282="","",N1282-L1282*O1282)</f>
        <v/>
      </c>
      <c r="T1282" s="22" t="str">
        <f aca="false">IF(R1282="","",IF(R1282&lt;=Q1282,"Yes","No"))</f>
        <v/>
      </c>
      <c r="U1282" s="22" t="str">
        <f aca="false">IF(B1282="","",TEXT(YEAR(B1282),"0"))</f>
        <v/>
      </c>
    </row>
    <row r="1283" customFormat="false" ht="15" hidden="false" customHeight="false" outlineLevel="0" collapsed="false">
      <c r="B1283" s="28"/>
      <c r="C1283" s="24" t="str">
        <f aca="false">IF(B1283="","",DATE(YEAR(B1283),MONTH(B1283),1))</f>
        <v/>
      </c>
      <c r="N1283" s="26" t="str">
        <f aca="false">IF(L1283="","",L1283*M1283)</f>
        <v/>
      </c>
      <c r="P1283" s="26" t="str">
        <f aca="false">IF(L1283="","",N1283-L1283*O1283)</f>
        <v/>
      </c>
      <c r="T1283" s="22" t="str">
        <f aca="false">IF(R1283="","",IF(R1283&lt;=Q1283,"Yes","No"))</f>
        <v/>
      </c>
      <c r="U1283" s="22" t="str">
        <f aca="false">IF(B1283="","",TEXT(YEAR(B1283),"0"))</f>
        <v/>
      </c>
    </row>
    <row r="1284" customFormat="false" ht="15" hidden="false" customHeight="false" outlineLevel="0" collapsed="false">
      <c r="B1284" s="28"/>
      <c r="C1284" s="24" t="str">
        <f aca="false">IF(B1284="","",DATE(YEAR(B1284),MONTH(B1284),1))</f>
        <v/>
      </c>
      <c r="N1284" s="26" t="str">
        <f aca="false">IF(L1284="","",L1284*M1284)</f>
        <v/>
      </c>
      <c r="P1284" s="26" t="str">
        <f aca="false">IF(L1284="","",N1284-L1284*O1284)</f>
        <v/>
      </c>
      <c r="T1284" s="22" t="str">
        <f aca="false">IF(R1284="","",IF(R1284&lt;=Q1284,"Yes","No"))</f>
        <v/>
      </c>
      <c r="U1284" s="22" t="str">
        <f aca="false">IF(B1284="","",TEXT(YEAR(B1284),"0"))</f>
        <v/>
      </c>
    </row>
    <row r="1285" customFormat="false" ht="15" hidden="false" customHeight="false" outlineLevel="0" collapsed="false">
      <c r="B1285" s="28"/>
      <c r="C1285" s="24" t="str">
        <f aca="false">IF(B1285="","",DATE(YEAR(B1285),MONTH(B1285),1))</f>
        <v/>
      </c>
      <c r="N1285" s="26" t="str">
        <f aca="false">IF(L1285="","",L1285*M1285)</f>
        <v/>
      </c>
      <c r="P1285" s="26" t="str">
        <f aca="false">IF(L1285="","",N1285-L1285*O1285)</f>
        <v/>
      </c>
      <c r="T1285" s="22" t="str">
        <f aca="false">IF(R1285="","",IF(R1285&lt;=Q1285,"Yes","No"))</f>
        <v/>
      </c>
      <c r="U1285" s="22" t="str">
        <f aca="false">IF(B1285="","",TEXT(YEAR(B1285),"0"))</f>
        <v/>
      </c>
    </row>
    <row r="1286" customFormat="false" ht="15" hidden="false" customHeight="false" outlineLevel="0" collapsed="false">
      <c r="B1286" s="28"/>
      <c r="C1286" s="24" t="str">
        <f aca="false">IF(B1286="","",DATE(YEAR(B1286),MONTH(B1286),1))</f>
        <v/>
      </c>
      <c r="N1286" s="26" t="str">
        <f aca="false">IF(L1286="","",L1286*M1286)</f>
        <v/>
      </c>
      <c r="P1286" s="26" t="str">
        <f aca="false">IF(L1286="","",N1286-L1286*O1286)</f>
        <v/>
      </c>
      <c r="T1286" s="22" t="str">
        <f aca="false">IF(R1286="","",IF(R1286&lt;=Q1286,"Yes","No"))</f>
        <v/>
      </c>
      <c r="U1286" s="22" t="str">
        <f aca="false">IF(B1286="","",TEXT(YEAR(B1286),"0"))</f>
        <v/>
      </c>
    </row>
    <row r="1287" customFormat="false" ht="15" hidden="false" customHeight="false" outlineLevel="0" collapsed="false">
      <c r="B1287" s="28"/>
      <c r="C1287" s="24" t="str">
        <f aca="false">IF(B1287="","",DATE(YEAR(B1287),MONTH(B1287),1))</f>
        <v/>
      </c>
      <c r="N1287" s="26" t="str">
        <f aca="false">IF(L1287="","",L1287*M1287)</f>
        <v/>
      </c>
      <c r="P1287" s="26" t="str">
        <f aca="false">IF(L1287="","",N1287-L1287*O1287)</f>
        <v/>
      </c>
      <c r="T1287" s="22" t="str">
        <f aca="false">IF(R1287="","",IF(R1287&lt;=Q1287,"Yes","No"))</f>
        <v/>
      </c>
      <c r="U1287" s="22" t="str">
        <f aca="false">IF(B1287="","",TEXT(YEAR(B1287),"0"))</f>
        <v/>
      </c>
    </row>
    <row r="1288" customFormat="false" ht="15" hidden="false" customHeight="false" outlineLevel="0" collapsed="false">
      <c r="B1288" s="28"/>
      <c r="C1288" s="24" t="str">
        <f aca="false">IF(B1288="","",DATE(YEAR(B1288),MONTH(B1288),1))</f>
        <v/>
      </c>
      <c r="N1288" s="26" t="str">
        <f aca="false">IF(L1288="","",L1288*M1288)</f>
        <v/>
      </c>
      <c r="P1288" s="26" t="str">
        <f aca="false">IF(L1288="","",N1288-L1288*O1288)</f>
        <v/>
      </c>
      <c r="T1288" s="22" t="str">
        <f aca="false">IF(R1288="","",IF(R1288&lt;=Q1288,"Yes","No"))</f>
        <v/>
      </c>
      <c r="U1288" s="22" t="str">
        <f aca="false">IF(B1288="","",TEXT(YEAR(B1288),"0"))</f>
        <v/>
      </c>
    </row>
    <row r="1289" customFormat="false" ht="15" hidden="false" customHeight="false" outlineLevel="0" collapsed="false">
      <c r="B1289" s="28"/>
      <c r="C1289" s="24" t="str">
        <f aca="false">IF(B1289="","",DATE(YEAR(B1289),MONTH(B1289),1))</f>
        <v/>
      </c>
      <c r="N1289" s="26" t="str">
        <f aca="false">IF(L1289="","",L1289*M1289)</f>
        <v/>
      </c>
      <c r="P1289" s="26" t="str">
        <f aca="false">IF(L1289="","",N1289-L1289*O1289)</f>
        <v/>
      </c>
      <c r="T1289" s="22" t="str">
        <f aca="false">IF(R1289="","",IF(R1289&lt;=Q1289,"Yes","No"))</f>
        <v/>
      </c>
      <c r="U1289" s="22" t="str">
        <f aca="false">IF(B1289="","",TEXT(YEAR(B1289),"0"))</f>
        <v/>
      </c>
    </row>
    <row r="1290" customFormat="false" ht="15" hidden="false" customHeight="false" outlineLevel="0" collapsed="false">
      <c r="B1290" s="28"/>
      <c r="C1290" s="24" t="str">
        <f aca="false">IF(B1290="","",DATE(YEAR(B1290),MONTH(B1290),1))</f>
        <v/>
      </c>
      <c r="N1290" s="26" t="str">
        <f aca="false">IF(L1290="","",L1290*M1290)</f>
        <v/>
      </c>
      <c r="P1290" s="26" t="str">
        <f aca="false">IF(L1290="","",N1290-L1290*O1290)</f>
        <v/>
      </c>
      <c r="T1290" s="22" t="str">
        <f aca="false">IF(R1290="","",IF(R1290&lt;=Q1290,"Yes","No"))</f>
        <v/>
      </c>
      <c r="U1290" s="22" t="str">
        <f aca="false">IF(B1290="","",TEXT(YEAR(B1290),"0"))</f>
        <v/>
      </c>
    </row>
    <row r="1291" customFormat="false" ht="15" hidden="false" customHeight="false" outlineLevel="0" collapsed="false">
      <c r="B1291" s="28"/>
      <c r="C1291" s="24" t="str">
        <f aca="false">IF(B1291="","",DATE(YEAR(B1291),MONTH(B1291),1))</f>
        <v/>
      </c>
      <c r="N1291" s="26" t="str">
        <f aca="false">IF(L1291="","",L1291*M1291)</f>
        <v/>
      </c>
      <c r="P1291" s="26" t="str">
        <f aca="false">IF(L1291="","",N1291-L1291*O1291)</f>
        <v/>
      </c>
      <c r="T1291" s="22" t="str">
        <f aca="false">IF(R1291="","",IF(R1291&lt;=Q1291,"Yes","No"))</f>
        <v/>
      </c>
      <c r="U1291" s="22" t="str">
        <f aca="false">IF(B1291="","",TEXT(YEAR(B1291),"0"))</f>
        <v/>
      </c>
    </row>
    <row r="1292" customFormat="false" ht="15" hidden="false" customHeight="false" outlineLevel="0" collapsed="false">
      <c r="B1292" s="28"/>
      <c r="C1292" s="24" t="str">
        <f aca="false">IF(B1292="","",DATE(YEAR(B1292),MONTH(B1292),1))</f>
        <v/>
      </c>
      <c r="N1292" s="26" t="str">
        <f aca="false">IF(L1292="","",L1292*M1292)</f>
        <v/>
      </c>
      <c r="P1292" s="26" t="str">
        <f aca="false">IF(L1292="","",N1292-L1292*O1292)</f>
        <v/>
      </c>
      <c r="T1292" s="22" t="str">
        <f aca="false">IF(R1292="","",IF(R1292&lt;=Q1292,"Yes","No"))</f>
        <v/>
      </c>
      <c r="U1292" s="22" t="str">
        <f aca="false">IF(B1292="","",TEXT(YEAR(B1292),"0"))</f>
        <v/>
      </c>
    </row>
    <row r="1293" customFormat="false" ht="15" hidden="false" customHeight="false" outlineLevel="0" collapsed="false">
      <c r="B1293" s="28"/>
      <c r="C1293" s="24" t="str">
        <f aca="false">IF(B1293="","",DATE(YEAR(B1293),MONTH(B1293),1))</f>
        <v/>
      </c>
      <c r="N1293" s="26" t="str">
        <f aca="false">IF(L1293="","",L1293*M1293)</f>
        <v/>
      </c>
      <c r="P1293" s="26" t="str">
        <f aca="false">IF(L1293="","",N1293-L1293*O1293)</f>
        <v/>
      </c>
      <c r="T1293" s="22" t="str">
        <f aca="false">IF(R1293="","",IF(R1293&lt;=Q1293,"Yes","No"))</f>
        <v/>
      </c>
      <c r="U1293" s="22" t="str">
        <f aca="false">IF(B1293="","",TEXT(YEAR(B1293),"0"))</f>
        <v/>
      </c>
    </row>
    <row r="1294" customFormat="false" ht="15" hidden="false" customHeight="false" outlineLevel="0" collapsed="false">
      <c r="B1294" s="28"/>
      <c r="C1294" s="24" t="str">
        <f aca="false">IF(B1294="","",DATE(YEAR(B1294),MONTH(B1294),1))</f>
        <v/>
      </c>
      <c r="N1294" s="26" t="str">
        <f aca="false">IF(L1294="","",L1294*M1294)</f>
        <v/>
      </c>
      <c r="P1294" s="26" t="str">
        <f aca="false">IF(L1294="","",N1294-L1294*O1294)</f>
        <v/>
      </c>
      <c r="T1294" s="22" t="str">
        <f aca="false">IF(R1294="","",IF(R1294&lt;=Q1294,"Yes","No"))</f>
        <v/>
      </c>
      <c r="U1294" s="22" t="str">
        <f aca="false">IF(B1294="","",TEXT(YEAR(B1294),"0"))</f>
        <v/>
      </c>
    </row>
    <row r="1295" customFormat="false" ht="15" hidden="false" customHeight="false" outlineLevel="0" collapsed="false">
      <c r="B1295" s="28"/>
      <c r="C1295" s="24" t="str">
        <f aca="false">IF(B1295="","",DATE(YEAR(B1295),MONTH(B1295),1))</f>
        <v/>
      </c>
      <c r="N1295" s="26" t="str">
        <f aca="false">IF(L1295="","",L1295*M1295)</f>
        <v/>
      </c>
      <c r="P1295" s="26" t="str">
        <f aca="false">IF(L1295="","",N1295-L1295*O1295)</f>
        <v/>
      </c>
      <c r="T1295" s="22" t="str">
        <f aca="false">IF(R1295="","",IF(R1295&lt;=Q1295,"Yes","No"))</f>
        <v/>
      </c>
      <c r="U1295" s="22" t="str">
        <f aca="false">IF(B1295="","",TEXT(YEAR(B1295),"0"))</f>
        <v/>
      </c>
    </row>
    <row r="1296" customFormat="false" ht="15" hidden="false" customHeight="false" outlineLevel="0" collapsed="false">
      <c r="B1296" s="28"/>
      <c r="C1296" s="24" t="str">
        <f aca="false">IF(B1296="","",DATE(YEAR(B1296),MONTH(B1296),1))</f>
        <v/>
      </c>
      <c r="N1296" s="26" t="str">
        <f aca="false">IF(L1296="","",L1296*M1296)</f>
        <v/>
      </c>
      <c r="P1296" s="26" t="str">
        <f aca="false">IF(L1296="","",N1296-L1296*O1296)</f>
        <v/>
      </c>
      <c r="T1296" s="22" t="str">
        <f aca="false">IF(R1296="","",IF(R1296&lt;=Q1296,"Yes","No"))</f>
        <v/>
      </c>
      <c r="U1296" s="22" t="str">
        <f aca="false">IF(B1296="","",TEXT(YEAR(B1296),"0"))</f>
        <v/>
      </c>
    </row>
    <row r="1297" customFormat="false" ht="15" hidden="false" customHeight="false" outlineLevel="0" collapsed="false">
      <c r="B1297" s="28"/>
      <c r="C1297" s="24" t="str">
        <f aca="false">IF(B1297="","",DATE(YEAR(B1297),MONTH(B1297),1))</f>
        <v/>
      </c>
      <c r="N1297" s="26" t="str">
        <f aca="false">IF(L1297="","",L1297*M1297)</f>
        <v/>
      </c>
      <c r="P1297" s="26" t="str">
        <f aca="false">IF(L1297="","",N1297-L1297*O1297)</f>
        <v/>
      </c>
      <c r="T1297" s="22" t="str">
        <f aca="false">IF(R1297="","",IF(R1297&lt;=Q1297,"Yes","No"))</f>
        <v/>
      </c>
      <c r="U1297" s="22" t="str">
        <f aca="false">IF(B1297="","",TEXT(YEAR(B1297),"0"))</f>
        <v/>
      </c>
    </row>
    <row r="1298" customFormat="false" ht="15" hidden="false" customHeight="false" outlineLevel="0" collapsed="false">
      <c r="B1298" s="28"/>
      <c r="C1298" s="24" t="str">
        <f aca="false">IF(B1298="","",DATE(YEAR(B1298),MONTH(B1298),1))</f>
        <v/>
      </c>
      <c r="N1298" s="26" t="str">
        <f aca="false">IF(L1298="","",L1298*M1298)</f>
        <v/>
      </c>
      <c r="P1298" s="26" t="str">
        <f aca="false">IF(L1298="","",N1298-L1298*O1298)</f>
        <v/>
      </c>
      <c r="T1298" s="22" t="str">
        <f aca="false">IF(R1298="","",IF(R1298&lt;=Q1298,"Yes","No"))</f>
        <v/>
      </c>
      <c r="U1298" s="22" t="str">
        <f aca="false">IF(B1298="","",TEXT(YEAR(B1298),"0"))</f>
        <v/>
      </c>
    </row>
    <row r="1299" customFormat="false" ht="15" hidden="false" customHeight="false" outlineLevel="0" collapsed="false">
      <c r="B1299" s="28"/>
      <c r="C1299" s="24" t="str">
        <f aca="false">IF(B1299="","",DATE(YEAR(B1299),MONTH(B1299),1))</f>
        <v/>
      </c>
      <c r="N1299" s="26" t="str">
        <f aca="false">IF(L1299="","",L1299*M1299)</f>
        <v/>
      </c>
      <c r="P1299" s="26" t="str">
        <f aca="false">IF(L1299="","",N1299-L1299*O1299)</f>
        <v/>
      </c>
      <c r="T1299" s="22" t="str">
        <f aca="false">IF(R1299="","",IF(R1299&lt;=Q1299,"Yes","No"))</f>
        <v/>
      </c>
      <c r="U1299" s="22" t="str">
        <f aca="false">IF(B1299="","",TEXT(YEAR(B1299),"0"))</f>
        <v/>
      </c>
    </row>
    <row r="1300" customFormat="false" ht="15" hidden="false" customHeight="false" outlineLevel="0" collapsed="false">
      <c r="B1300" s="28"/>
      <c r="C1300" s="24" t="str">
        <f aca="false">IF(B1300="","",DATE(YEAR(B1300),MONTH(B1300),1))</f>
        <v/>
      </c>
      <c r="N1300" s="26" t="str">
        <f aca="false">IF(L1300="","",L1300*M1300)</f>
        <v/>
      </c>
      <c r="P1300" s="26" t="str">
        <f aca="false">IF(L1300="","",N1300-L1300*O1300)</f>
        <v/>
      </c>
      <c r="T1300" s="22" t="str">
        <f aca="false">IF(R1300="","",IF(R1300&lt;=Q1300,"Yes","No"))</f>
        <v/>
      </c>
      <c r="U1300" s="22" t="str">
        <f aca="false">IF(B1300="","",TEXT(YEAR(B1300),"0"))</f>
        <v/>
      </c>
    </row>
    <row r="1301" customFormat="false" ht="15" hidden="false" customHeight="false" outlineLevel="0" collapsed="false">
      <c r="B1301" s="28"/>
      <c r="C1301" s="24" t="str">
        <f aca="false">IF(B1301="","",DATE(YEAR(B1301),MONTH(B1301),1))</f>
        <v/>
      </c>
      <c r="N1301" s="26" t="str">
        <f aca="false">IF(L1301="","",L1301*M1301)</f>
        <v/>
      </c>
      <c r="P1301" s="26" t="str">
        <f aca="false">IF(L1301="","",N1301-L1301*O1301)</f>
        <v/>
      </c>
      <c r="T1301" s="22" t="str">
        <f aca="false">IF(R1301="","",IF(R1301&lt;=Q1301,"Yes","No"))</f>
        <v/>
      </c>
      <c r="U1301" s="22" t="str">
        <f aca="false">IF(B1301="","",TEXT(YEAR(B1301),"0"))</f>
        <v/>
      </c>
    </row>
    <row r="1302" customFormat="false" ht="15" hidden="false" customHeight="false" outlineLevel="0" collapsed="false">
      <c r="B1302" s="28"/>
      <c r="C1302" s="24" t="str">
        <f aca="false">IF(B1302="","",DATE(YEAR(B1302),MONTH(B1302),1))</f>
        <v/>
      </c>
      <c r="N1302" s="26" t="str">
        <f aca="false">IF(L1302="","",L1302*M1302)</f>
        <v/>
      </c>
      <c r="P1302" s="26" t="str">
        <f aca="false">IF(L1302="","",N1302-L1302*O1302)</f>
        <v/>
      </c>
      <c r="T1302" s="22" t="str">
        <f aca="false">IF(R1302="","",IF(R1302&lt;=Q1302,"Yes","No"))</f>
        <v/>
      </c>
      <c r="U1302" s="22" t="str">
        <f aca="false">IF(B1302="","",TEXT(YEAR(B1302),"0"))</f>
        <v/>
      </c>
    </row>
    <row r="1303" customFormat="false" ht="15" hidden="false" customHeight="false" outlineLevel="0" collapsed="false">
      <c r="B1303" s="28"/>
      <c r="C1303" s="24" t="str">
        <f aca="false">IF(B1303="","",DATE(YEAR(B1303),MONTH(B1303),1))</f>
        <v/>
      </c>
      <c r="N1303" s="26" t="str">
        <f aca="false">IF(L1303="","",L1303*M1303)</f>
        <v/>
      </c>
      <c r="P1303" s="26" t="str">
        <f aca="false">IF(L1303="","",N1303-L1303*O1303)</f>
        <v/>
      </c>
      <c r="T1303" s="22" t="str">
        <f aca="false">IF(R1303="","",IF(R1303&lt;=Q1303,"Yes","No"))</f>
        <v/>
      </c>
      <c r="U1303" s="22" t="str">
        <f aca="false">IF(B1303="","",TEXT(YEAR(B1303),"0"))</f>
        <v/>
      </c>
    </row>
    <row r="1304" customFormat="false" ht="15" hidden="false" customHeight="false" outlineLevel="0" collapsed="false">
      <c r="B1304" s="28"/>
      <c r="C1304" s="24" t="str">
        <f aca="false">IF(B1304="","",DATE(YEAR(B1304),MONTH(B1304),1))</f>
        <v/>
      </c>
      <c r="N1304" s="26" t="str">
        <f aca="false">IF(L1304="","",L1304*M1304)</f>
        <v/>
      </c>
      <c r="P1304" s="26" t="str">
        <f aca="false">IF(L1304="","",N1304-L1304*O1304)</f>
        <v/>
      </c>
      <c r="T1304" s="22" t="str">
        <f aca="false">IF(R1304="","",IF(R1304&lt;=Q1304,"Yes","No"))</f>
        <v/>
      </c>
      <c r="U1304" s="22" t="str">
        <f aca="false">IF(B1304="","",TEXT(YEAR(B1304),"0"))</f>
        <v/>
      </c>
    </row>
    <row r="1305" customFormat="false" ht="15" hidden="false" customHeight="false" outlineLevel="0" collapsed="false">
      <c r="B1305" s="28"/>
      <c r="C1305" s="24" t="str">
        <f aca="false">IF(B1305="","",DATE(YEAR(B1305),MONTH(B1305),1))</f>
        <v/>
      </c>
      <c r="N1305" s="26" t="str">
        <f aca="false">IF(L1305="","",L1305*M1305)</f>
        <v/>
      </c>
      <c r="P1305" s="26" t="str">
        <f aca="false">IF(L1305="","",N1305-L1305*O1305)</f>
        <v/>
      </c>
      <c r="T1305" s="22" t="str">
        <f aca="false">IF(R1305="","",IF(R1305&lt;=Q1305,"Yes","No"))</f>
        <v/>
      </c>
      <c r="U1305" s="22" t="str">
        <f aca="false">IF(B1305="","",TEXT(YEAR(B1305),"0"))</f>
        <v/>
      </c>
    </row>
    <row r="1306" customFormat="false" ht="15" hidden="false" customHeight="false" outlineLevel="0" collapsed="false">
      <c r="B1306" s="28"/>
      <c r="C1306" s="24" t="str">
        <f aca="false">IF(B1306="","",DATE(YEAR(B1306),MONTH(B1306),1))</f>
        <v/>
      </c>
      <c r="N1306" s="26" t="str">
        <f aca="false">IF(L1306="","",L1306*M1306)</f>
        <v/>
      </c>
      <c r="P1306" s="26" t="str">
        <f aca="false">IF(L1306="","",N1306-L1306*O1306)</f>
        <v/>
      </c>
      <c r="T1306" s="22" t="str">
        <f aca="false">IF(R1306="","",IF(R1306&lt;=Q1306,"Yes","No"))</f>
        <v/>
      </c>
      <c r="U1306" s="22" t="str">
        <f aca="false">IF(B1306="","",TEXT(YEAR(B1306),"0"))</f>
        <v/>
      </c>
    </row>
    <row r="1307" customFormat="false" ht="15" hidden="false" customHeight="false" outlineLevel="0" collapsed="false">
      <c r="B1307" s="28"/>
      <c r="C1307" s="24" t="str">
        <f aca="false">IF(B1307="","",DATE(YEAR(B1307),MONTH(B1307),1))</f>
        <v/>
      </c>
      <c r="N1307" s="26" t="str">
        <f aca="false">IF(L1307="","",L1307*M1307)</f>
        <v/>
      </c>
      <c r="P1307" s="26" t="str">
        <f aca="false">IF(L1307="","",N1307-L1307*O1307)</f>
        <v/>
      </c>
      <c r="T1307" s="22" t="str">
        <f aca="false">IF(R1307="","",IF(R1307&lt;=Q1307,"Yes","No"))</f>
        <v/>
      </c>
      <c r="U1307" s="22" t="str">
        <f aca="false">IF(B1307="","",TEXT(YEAR(B1307),"0"))</f>
        <v/>
      </c>
    </row>
    <row r="1308" customFormat="false" ht="15" hidden="false" customHeight="false" outlineLevel="0" collapsed="false">
      <c r="B1308" s="28"/>
      <c r="C1308" s="24" t="str">
        <f aca="false">IF(B1308="","",DATE(YEAR(B1308),MONTH(B1308),1))</f>
        <v/>
      </c>
      <c r="N1308" s="26" t="str">
        <f aca="false">IF(L1308="","",L1308*M1308)</f>
        <v/>
      </c>
      <c r="P1308" s="26" t="str">
        <f aca="false">IF(L1308="","",N1308-L1308*O1308)</f>
        <v/>
      </c>
      <c r="T1308" s="22" t="str">
        <f aca="false">IF(R1308="","",IF(R1308&lt;=Q1308,"Yes","No"))</f>
        <v/>
      </c>
      <c r="U1308" s="22" t="str">
        <f aca="false">IF(B1308="","",TEXT(YEAR(B1308),"0"))</f>
        <v/>
      </c>
    </row>
    <row r="1309" customFormat="false" ht="15" hidden="false" customHeight="false" outlineLevel="0" collapsed="false">
      <c r="B1309" s="28"/>
      <c r="C1309" s="24" t="str">
        <f aca="false">IF(B1309="","",DATE(YEAR(B1309),MONTH(B1309),1))</f>
        <v/>
      </c>
      <c r="N1309" s="26" t="str">
        <f aca="false">IF(L1309="","",L1309*M1309)</f>
        <v/>
      </c>
      <c r="P1309" s="26" t="str">
        <f aca="false">IF(L1309="","",N1309-L1309*O1309)</f>
        <v/>
      </c>
      <c r="T1309" s="22" t="str">
        <f aca="false">IF(R1309="","",IF(R1309&lt;=Q1309,"Yes","No"))</f>
        <v/>
      </c>
      <c r="U1309" s="22" t="str">
        <f aca="false">IF(B1309="","",TEXT(YEAR(B1309),"0"))</f>
        <v/>
      </c>
    </row>
    <row r="1310" customFormat="false" ht="15" hidden="false" customHeight="false" outlineLevel="0" collapsed="false">
      <c r="B1310" s="28"/>
      <c r="C1310" s="24" t="str">
        <f aca="false">IF(B1310="","",DATE(YEAR(B1310),MONTH(B1310),1))</f>
        <v/>
      </c>
      <c r="N1310" s="26" t="str">
        <f aca="false">IF(L1310="","",L1310*M1310)</f>
        <v/>
      </c>
      <c r="P1310" s="26" t="str">
        <f aca="false">IF(L1310="","",N1310-L1310*O1310)</f>
        <v/>
      </c>
      <c r="T1310" s="22" t="str">
        <f aca="false">IF(R1310="","",IF(R1310&lt;=Q1310,"Yes","No"))</f>
        <v/>
      </c>
      <c r="U1310" s="22" t="str">
        <f aca="false">IF(B1310="","",TEXT(YEAR(B1310),"0"))</f>
        <v/>
      </c>
    </row>
    <row r="1311" customFormat="false" ht="15" hidden="false" customHeight="false" outlineLevel="0" collapsed="false">
      <c r="B1311" s="28"/>
      <c r="C1311" s="24" t="str">
        <f aca="false">IF(B1311="","",DATE(YEAR(B1311),MONTH(B1311),1))</f>
        <v/>
      </c>
      <c r="N1311" s="26" t="str">
        <f aca="false">IF(L1311="","",L1311*M1311)</f>
        <v/>
      </c>
      <c r="P1311" s="26" t="str">
        <f aca="false">IF(L1311="","",N1311-L1311*O1311)</f>
        <v/>
      </c>
      <c r="T1311" s="22" t="str">
        <f aca="false">IF(R1311="","",IF(R1311&lt;=Q1311,"Yes","No"))</f>
        <v/>
      </c>
      <c r="U1311" s="22" t="str">
        <f aca="false">IF(B1311="","",TEXT(YEAR(B1311),"0"))</f>
        <v/>
      </c>
    </row>
    <row r="1312" customFormat="false" ht="15" hidden="false" customHeight="false" outlineLevel="0" collapsed="false">
      <c r="B1312" s="28"/>
      <c r="C1312" s="24" t="str">
        <f aca="false">IF(B1312="","",DATE(YEAR(B1312),MONTH(B1312),1))</f>
        <v/>
      </c>
      <c r="N1312" s="26" t="str">
        <f aca="false">IF(L1312="","",L1312*M1312)</f>
        <v/>
      </c>
      <c r="P1312" s="26" t="str">
        <f aca="false">IF(L1312="","",N1312-L1312*O1312)</f>
        <v/>
      </c>
      <c r="T1312" s="22" t="str">
        <f aca="false">IF(R1312="","",IF(R1312&lt;=Q1312,"Yes","No"))</f>
        <v/>
      </c>
      <c r="U1312" s="22" t="str">
        <f aca="false">IF(B1312="","",TEXT(YEAR(B1312),"0"))</f>
        <v/>
      </c>
    </row>
    <row r="1313" customFormat="false" ht="15" hidden="false" customHeight="false" outlineLevel="0" collapsed="false">
      <c r="B1313" s="28"/>
      <c r="C1313" s="24" t="str">
        <f aca="false">IF(B1313="","",DATE(YEAR(B1313),MONTH(B1313),1))</f>
        <v/>
      </c>
      <c r="N1313" s="26" t="str">
        <f aca="false">IF(L1313="","",L1313*M1313)</f>
        <v/>
      </c>
      <c r="P1313" s="26" t="str">
        <f aca="false">IF(L1313="","",N1313-L1313*O1313)</f>
        <v/>
      </c>
      <c r="T1313" s="22" t="str">
        <f aca="false">IF(R1313="","",IF(R1313&lt;=Q1313,"Yes","No"))</f>
        <v/>
      </c>
      <c r="U1313" s="22" t="str">
        <f aca="false">IF(B1313="","",TEXT(YEAR(B1313),"0"))</f>
        <v/>
      </c>
    </row>
    <row r="1314" customFormat="false" ht="15" hidden="false" customHeight="false" outlineLevel="0" collapsed="false">
      <c r="B1314" s="28"/>
      <c r="C1314" s="24" t="str">
        <f aca="false">IF(B1314="","",DATE(YEAR(B1314),MONTH(B1314),1))</f>
        <v/>
      </c>
      <c r="N1314" s="26" t="str">
        <f aca="false">IF(L1314="","",L1314*M1314)</f>
        <v/>
      </c>
      <c r="P1314" s="26" t="str">
        <f aca="false">IF(L1314="","",N1314-L1314*O1314)</f>
        <v/>
      </c>
      <c r="T1314" s="22" t="str">
        <f aca="false">IF(R1314="","",IF(R1314&lt;=Q1314,"Yes","No"))</f>
        <v/>
      </c>
      <c r="U1314" s="22" t="str">
        <f aca="false">IF(B1314="","",TEXT(YEAR(B1314),"0"))</f>
        <v/>
      </c>
    </row>
    <row r="1315" customFormat="false" ht="15" hidden="false" customHeight="false" outlineLevel="0" collapsed="false">
      <c r="B1315" s="28"/>
      <c r="C1315" s="24" t="str">
        <f aca="false">IF(B1315="","",DATE(YEAR(B1315),MONTH(B1315),1))</f>
        <v/>
      </c>
      <c r="N1315" s="26" t="str">
        <f aca="false">IF(L1315="","",L1315*M1315)</f>
        <v/>
      </c>
      <c r="P1315" s="26" t="str">
        <f aca="false">IF(L1315="","",N1315-L1315*O1315)</f>
        <v/>
      </c>
      <c r="T1315" s="22" t="str">
        <f aca="false">IF(R1315="","",IF(R1315&lt;=Q1315,"Yes","No"))</f>
        <v/>
      </c>
      <c r="U1315" s="22" t="str">
        <f aca="false">IF(B1315="","",TEXT(YEAR(B1315),"0"))</f>
        <v/>
      </c>
    </row>
    <row r="1316" customFormat="false" ht="15" hidden="false" customHeight="false" outlineLevel="0" collapsed="false">
      <c r="B1316" s="28"/>
      <c r="C1316" s="24" t="str">
        <f aca="false">IF(B1316="","",DATE(YEAR(B1316),MONTH(B1316),1))</f>
        <v/>
      </c>
      <c r="N1316" s="26" t="str">
        <f aca="false">IF(L1316="","",L1316*M1316)</f>
        <v/>
      </c>
      <c r="P1316" s="26" t="str">
        <f aca="false">IF(L1316="","",N1316-L1316*O1316)</f>
        <v/>
      </c>
      <c r="T1316" s="22" t="str">
        <f aca="false">IF(R1316="","",IF(R1316&lt;=Q1316,"Yes","No"))</f>
        <v/>
      </c>
      <c r="U1316" s="22" t="str">
        <f aca="false">IF(B1316="","",TEXT(YEAR(B1316),"0"))</f>
        <v/>
      </c>
    </row>
    <row r="1317" customFormat="false" ht="15" hidden="false" customHeight="false" outlineLevel="0" collapsed="false">
      <c r="B1317" s="28"/>
      <c r="C1317" s="24" t="str">
        <f aca="false">IF(B1317="","",DATE(YEAR(B1317),MONTH(B1317),1))</f>
        <v/>
      </c>
      <c r="N1317" s="26" t="str">
        <f aca="false">IF(L1317="","",L1317*M1317)</f>
        <v/>
      </c>
      <c r="P1317" s="26" t="str">
        <f aca="false">IF(L1317="","",N1317-L1317*O1317)</f>
        <v/>
      </c>
      <c r="T1317" s="22" t="str">
        <f aca="false">IF(R1317="","",IF(R1317&lt;=Q1317,"Yes","No"))</f>
        <v/>
      </c>
      <c r="U1317" s="22" t="str">
        <f aca="false">IF(B1317="","",TEXT(YEAR(B1317),"0"))</f>
        <v/>
      </c>
    </row>
    <row r="1318" customFormat="false" ht="15" hidden="false" customHeight="false" outlineLevel="0" collapsed="false">
      <c r="B1318" s="28"/>
      <c r="C1318" s="24" t="str">
        <f aca="false">IF(B1318="","",DATE(YEAR(B1318),MONTH(B1318),1))</f>
        <v/>
      </c>
      <c r="N1318" s="26" t="str">
        <f aca="false">IF(L1318="","",L1318*M1318)</f>
        <v/>
      </c>
      <c r="P1318" s="26" t="str">
        <f aca="false">IF(L1318="","",N1318-L1318*O1318)</f>
        <v/>
      </c>
      <c r="T1318" s="22" t="str">
        <f aca="false">IF(R1318="","",IF(R1318&lt;=Q1318,"Yes","No"))</f>
        <v/>
      </c>
      <c r="U1318" s="22" t="str">
        <f aca="false">IF(B1318="","",TEXT(YEAR(B1318),"0"))</f>
        <v/>
      </c>
    </row>
    <row r="1319" customFormat="false" ht="15" hidden="false" customHeight="false" outlineLevel="0" collapsed="false">
      <c r="B1319" s="28"/>
      <c r="C1319" s="24" t="str">
        <f aca="false">IF(B1319="","",DATE(YEAR(B1319),MONTH(B1319),1))</f>
        <v/>
      </c>
      <c r="N1319" s="26" t="str">
        <f aca="false">IF(L1319="","",L1319*M1319)</f>
        <v/>
      </c>
      <c r="P1319" s="26" t="str">
        <f aca="false">IF(L1319="","",N1319-L1319*O1319)</f>
        <v/>
      </c>
      <c r="T1319" s="22" t="str">
        <f aca="false">IF(R1319="","",IF(R1319&lt;=Q1319,"Yes","No"))</f>
        <v/>
      </c>
      <c r="U1319" s="22" t="str">
        <f aca="false">IF(B1319="","",TEXT(YEAR(B1319),"0"))</f>
        <v/>
      </c>
    </row>
    <row r="1320" customFormat="false" ht="15" hidden="false" customHeight="false" outlineLevel="0" collapsed="false">
      <c r="B1320" s="28"/>
      <c r="C1320" s="24" t="str">
        <f aca="false">IF(B1320="","",DATE(YEAR(B1320),MONTH(B1320),1))</f>
        <v/>
      </c>
      <c r="N1320" s="26" t="str">
        <f aca="false">IF(L1320="","",L1320*M1320)</f>
        <v/>
      </c>
      <c r="P1320" s="26" t="str">
        <f aca="false">IF(L1320="","",N1320-L1320*O1320)</f>
        <v/>
      </c>
      <c r="T1320" s="22" t="str">
        <f aca="false">IF(R1320="","",IF(R1320&lt;=Q1320,"Yes","No"))</f>
        <v/>
      </c>
      <c r="U1320" s="22" t="str">
        <f aca="false">IF(B1320="","",TEXT(YEAR(B1320),"0"))</f>
        <v/>
      </c>
    </row>
    <row r="1321" customFormat="false" ht="15" hidden="false" customHeight="false" outlineLevel="0" collapsed="false">
      <c r="B1321" s="28"/>
      <c r="C1321" s="24" t="str">
        <f aca="false">IF(B1321="","",DATE(YEAR(B1321),MONTH(B1321),1))</f>
        <v/>
      </c>
      <c r="N1321" s="26" t="str">
        <f aca="false">IF(L1321="","",L1321*M1321)</f>
        <v/>
      </c>
      <c r="P1321" s="26" t="str">
        <f aca="false">IF(L1321="","",N1321-L1321*O1321)</f>
        <v/>
      </c>
      <c r="T1321" s="22" t="str">
        <f aca="false">IF(R1321="","",IF(R1321&lt;=Q1321,"Yes","No"))</f>
        <v/>
      </c>
      <c r="U1321" s="22" t="str">
        <f aca="false">IF(B1321="","",TEXT(YEAR(B1321),"0"))</f>
        <v/>
      </c>
    </row>
    <row r="1322" customFormat="false" ht="15" hidden="false" customHeight="false" outlineLevel="0" collapsed="false">
      <c r="B1322" s="28"/>
      <c r="C1322" s="24" t="str">
        <f aca="false">IF(B1322="","",DATE(YEAR(B1322),MONTH(B1322),1))</f>
        <v/>
      </c>
      <c r="N1322" s="26" t="str">
        <f aca="false">IF(L1322="","",L1322*M1322)</f>
        <v/>
      </c>
      <c r="P1322" s="26" t="str">
        <f aca="false">IF(L1322="","",N1322-L1322*O1322)</f>
        <v/>
      </c>
      <c r="T1322" s="22" t="str">
        <f aca="false">IF(R1322="","",IF(R1322&lt;=Q1322,"Yes","No"))</f>
        <v/>
      </c>
      <c r="U1322" s="22" t="str">
        <f aca="false">IF(B1322="","",TEXT(YEAR(B1322),"0"))</f>
        <v/>
      </c>
    </row>
    <row r="1323" customFormat="false" ht="15" hidden="false" customHeight="false" outlineLevel="0" collapsed="false">
      <c r="B1323" s="28"/>
      <c r="C1323" s="24" t="str">
        <f aca="false">IF(B1323="","",DATE(YEAR(B1323),MONTH(B1323),1))</f>
        <v/>
      </c>
      <c r="N1323" s="26" t="str">
        <f aca="false">IF(L1323="","",L1323*M1323)</f>
        <v/>
      </c>
      <c r="P1323" s="26" t="str">
        <f aca="false">IF(L1323="","",N1323-L1323*O1323)</f>
        <v/>
      </c>
      <c r="T1323" s="22" t="str">
        <f aca="false">IF(R1323="","",IF(R1323&lt;=Q1323,"Yes","No"))</f>
        <v/>
      </c>
      <c r="U1323" s="22" t="str">
        <f aca="false">IF(B1323="","",TEXT(YEAR(B1323),"0"))</f>
        <v/>
      </c>
    </row>
    <row r="1324" customFormat="false" ht="15" hidden="false" customHeight="false" outlineLevel="0" collapsed="false">
      <c r="B1324" s="28"/>
      <c r="C1324" s="24" t="str">
        <f aca="false">IF(B1324="","",DATE(YEAR(B1324),MONTH(B1324),1))</f>
        <v/>
      </c>
      <c r="N1324" s="26" t="str">
        <f aca="false">IF(L1324="","",L1324*M1324)</f>
        <v/>
      </c>
      <c r="P1324" s="26" t="str">
        <f aca="false">IF(L1324="","",N1324-L1324*O1324)</f>
        <v/>
      </c>
      <c r="T1324" s="22" t="str">
        <f aca="false">IF(R1324="","",IF(R1324&lt;=Q1324,"Yes","No"))</f>
        <v/>
      </c>
      <c r="U1324" s="22" t="str">
        <f aca="false">IF(B1324="","",TEXT(YEAR(B1324),"0"))</f>
        <v/>
      </c>
    </row>
    <row r="1325" customFormat="false" ht="15" hidden="false" customHeight="false" outlineLevel="0" collapsed="false">
      <c r="B1325" s="28"/>
      <c r="C1325" s="24" t="str">
        <f aca="false">IF(B1325="","",DATE(YEAR(B1325),MONTH(B1325),1))</f>
        <v/>
      </c>
      <c r="N1325" s="26" t="str">
        <f aca="false">IF(L1325="","",L1325*M1325)</f>
        <v/>
      </c>
      <c r="P1325" s="26" t="str">
        <f aca="false">IF(L1325="","",N1325-L1325*O1325)</f>
        <v/>
      </c>
      <c r="T1325" s="22" t="str">
        <f aca="false">IF(R1325="","",IF(R1325&lt;=Q1325,"Yes","No"))</f>
        <v/>
      </c>
      <c r="U1325" s="22" t="str">
        <f aca="false">IF(B1325="","",TEXT(YEAR(B1325),"0"))</f>
        <v/>
      </c>
    </row>
    <row r="1326" customFormat="false" ht="15" hidden="false" customHeight="false" outlineLevel="0" collapsed="false">
      <c r="B1326" s="28"/>
      <c r="C1326" s="24" t="str">
        <f aca="false">IF(B1326="","",DATE(YEAR(B1326),MONTH(B1326),1))</f>
        <v/>
      </c>
      <c r="N1326" s="26" t="str">
        <f aca="false">IF(L1326="","",L1326*M1326)</f>
        <v/>
      </c>
      <c r="P1326" s="26" t="str">
        <f aca="false">IF(L1326="","",N1326-L1326*O1326)</f>
        <v/>
      </c>
      <c r="T1326" s="22" t="str">
        <f aca="false">IF(R1326="","",IF(R1326&lt;=Q1326,"Yes","No"))</f>
        <v/>
      </c>
      <c r="U1326" s="22" t="str">
        <f aca="false">IF(B1326="","",TEXT(YEAR(B1326),"0"))</f>
        <v/>
      </c>
    </row>
    <row r="1327" customFormat="false" ht="15" hidden="false" customHeight="false" outlineLevel="0" collapsed="false">
      <c r="B1327" s="28"/>
      <c r="C1327" s="24" t="str">
        <f aca="false">IF(B1327="","",DATE(YEAR(B1327),MONTH(B1327),1))</f>
        <v/>
      </c>
      <c r="N1327" s="26" t="str">
        <f aca="false">IF(L1327="","",L1327*M1327)</f>
        <v/>
      </c>
      <c r="P1327" s="26" t="str">
        <f aca="false">IF(L1327="","",N1327-L1327*O1327)</f>
        <v/>
      </c>
      <c r="T1327" s="22" t="str">
        <f aca="false">IF(R1327="","",IF(R1327&lt;=Q1327,"Yes","No"))</f>
        <v/>
      </c>
      <c r="U1327" s="22" t="str">
        <f aca="false">IF(B1327="","",TEXT(YEAR(B1327),"0"))</f>
        <v/>
      </c>
    </row>
    <row r="1328" customFormat="false" ht="15" hidden="false" customHeight="false" outlineLevel="0" collapsed="false">
      <c r="B1328" s="28"/>
      <c r="C1328" s="24" t="str">
        <f aca="false">IF(B1328="","",DATE(YEAR(B1328),MONTH(B1328),1))</f>
        <v/>
      </c>
      <c r="N1328" s="26" t="str">
        <f aca="false">IF(L1328="","",L1328*M1328)</f>
        <v/>
      </c>
      <c r="P1328" s="26" t="str">
        <f aca="false">IF(L1328="","",N1328-L1328*O1328)</f>
        <v/>
      </c>
      <c r="T1328" s="22" t="str">
        <f aca="false">IF(R1328="","",IF(R1328&lt;=Q1328,"Yes","No"))</f>
        <v/>
      </c>
      <c r="U1328" s="22" t="str">
        <f aca="false">IF(B1328="","",TEXT(YEAR(B1328),"0"))</f>
        <v/>
      </c>
    </row>
    <row r="1329" customFormat="false" ht="15" hidden="false" customHeight="false" outlineLevel="0" collapsed="false">
      <c r="B1329" s="28"/>
      <c r="C1329" s="24" t="str">
        <f aca="false">IF(B1329="","",DATE(YEAR(B1329),MONTH(B1329),1))</f>
        <v/>
      </c>
      <c r="N1329" s="26" t="str">
        <f aca="false">IF(L1329="","",L1329*M1329)</f>
        <v/>
      </c>
      <c r="P1329" s="26" t="str">
        <f aca="false">IF(L1329="","",N1329-L1329*O1329)</f>
        <v/>
      </c>
      <c r="T1329" s="22" t="str">
        <f aca="false">IF(R1329="","",IF(R1329&lt;=Q1329,"Yes","No"))</f>
        <v/>
      </c>
      <c r="U1329" s="22" t="str">
        <f aca="false">IF(B1329="","",TEXT(YEAR(B1329),"0"))</f>
        <v/>
      </c>
    </row>
    <row r="1330" customFormat="false" ht="15" hidden="false" customHeight="false" outlineLevel="0" collapsed="false">
      <c r="B1330" s="28"/>
      <c r="C1330" s="24" t="str">
        <f aca="false">IF(B1330="","",DATE(YEAR(B1330),MONTH(B1330),1))</f>
        <v/>
      </c>
      <c r="N1330" s="26" t="str">
        <f aca="false">IF(L1330="","",L1330*M1330)</f>
        <v/>
      </c>
      <c r="P1330" s="26" t="str">
        <f aca="false">IF(L1330="","",N1330-L1330*O1330)</f>
        <v/>
      </c>
      <c r="T1330" s="22" t="str">
        <f aca="false">IF(R1330="","",IF(R1330&lt;=Q1330,"Yes","No"))</f>
        <v/>
      </c>
      <c r="U1330" s="22" t="str">
        <f aca="false">IF(B1330="","",TEXT(YEAR(B1330),"0"))</f>
        <v/>
      </c>
    </row>
    <row r="1331" customFormat="false" ht="15" hidden="false" customHeight="false" outlineLevel="0" collapsed="false">
      <c r="B1331" s="28"/>
      <c r="C1331" s="24" t="str">
        <f aca="false">IF(B1331="","",DATE(YEAR(B1331),MONTH(B1331),1))</f>
        <v/>
      </c>
      <c r="N1331" s="26" t="str">
        <f aca="false">IF(L1331="","",L1331*M1331)</f>
        <v/>
      </c>
      <c r="P1331" s="26" t="str">
        <f aca="false">IF(L1331="","",N1331-L1331*O1331)</f>
        <v/>
      </c>
      <c r="T1331" s="22" t="str">
        <f aca="false">IF(R1331="","",IF(R1331&lt;=Q1331,"Yes","No"))</f>
        <v/>
      </c>
      <c r="U1331" s="22" t="str">
        <f aca="false">IF(B1331="","",TEXT(YEAR(B1331),"0"))</f>
        <v/>
      </c>
    </row>
    <row r="1332" customFormat="false" ht="15" hidden="false" customHeight="false" outlineLevel="0" collapsed="false">
      <c r="B1332" s="28"/>
      <c r="C1332" s="24" t="str">
        <f aca="false">IF(B1332="","",DATE(YEAR(B1332),MONTH(B1332),1))</f>
        <v/>
      </c>
      <c r="N1332" s="26" t="str">
        <f aca="false">IF(L1332="","",L1332*M1332)</f>
        <v/>
      </c>
      <c r="P1332" s="26" t="str">
        <f aca="false">IF(L1332="","",N1332-L1332*O1332)</f>
        <v/>
      </c>
      <c r="T1332" s="22" t="str">
        <f aca="false">IF(R1332="","",IF(R1332&lt;=Q1332,"Yes","No"))</f>
        <v/>
      </c>
      <c r="U1332" s="22" t="str">
        <f aca="false">IF(B1332="","",TEXT(YEAR(B1332),"0"))</f>
        <v/>
      </c>
    </row>
    <row r="1333" customFormat="false" ht="15" hidden="false" customHeight="false" outlineLevel="0" collapsed="false">
      <c r="B1333" s="28"/>
      <c r="C1333" s="24" t="str">
        <f aca="false">IF(B1333="","",DATE(YEAR(B1333),MONTH(B1333),1))</f>
        <v/>
      </c>
      <c r="N1333" s="26" t="str">
        <f aca="false">IF(L1333="","",L1333*M1333)</f>
        <v/>
      </c>
      <c r="P1333" s="26" t="str">
        <f aca="false">IF(L1333="","",N1333-L1333*O1333)</f>
        <v/>
      </c>
      <c r="T1333" s="22" t="str">
        <f aca="false">IF(R1333="","",IF(R1333&lt;=Q1333,"Yes","No"))</f>
        <v/>
      </c>
      <c r="U1333" s="22" t="str">
        <f aca="false">IF(B1333="","",TEXT(YEAR(B1333),"0"))</f>
        <v/>
      </c>
    </row>
    <row r="1334" customFormat="false" ht="15" hidden="false" customHeight="false" outlineLevel="0" collapsed="false">
      <c r="B1334" s="28"/>
      <c r="C1334" s="24" t="str">
        <f aca="false">IF(B1334="","",DATE(YEAR(B1334),MONTH(B1334),1))</f>
        <v/>
      </c>
      <c r="N1334" s="26" t="str">
        <f aca="false">IF(L1334="","",L1334*M1334)</f>
        <v/>
      </c>
      <c r="P1334" s="26" t="str">
        <f aca="false">IF(L1334="","",N1334-L1334*O1334)</f>
        <v/>
      </c>
      <c r="T1334" s="22" t="str">
        <f aca="false">IF(R1334="","",IF(R1334&lt;=Q1334,"Yes","No"))</f>
        <v/>
      </c>
      <c r="U1334" s="22" t="str">
        <f aca="false">IF(B1334="","",TEXT(YEAR(B1334),"0"))</f>
        <v/>
      </c>
    </row>
    <row r="1335" customFormat="false" ht="15" hidden="false" customHeight="false" outlineLevel="0" collapsed="false">
      <c r="B1335" s="28"/>
      <c r="C1335" s="24" t="str">
        <f aca="false">IF(B1335="","",DATE(YEAR(B1335),MONTH(B1335),1))</f>
        <v/>
      </c>
      <c r="N1335" s="26" t="str">
        <f aca="false">IF(L1335="","",L1335*M1335)</f>
        <v/>
      </c>
      <c r="P1335" s="26" t="str">
        <f aca="false">IF(L1335="","",N1335-L1335*O1335)</f>
        <v/>
      </c>
      <c r="T1335" s="22" t="str">
        <f aca="false">IF(R1335="","",IF(R1335&lt;=Q1335,"Yes","No"))</f>
        <v/>
      </c>
      <c r="U1335" s="22" t="str">
        <f aca="false">IF(B1335="","",TEXT(YEAR(B1335),"0"))</f>
        <v/>
      </c>
    </row>
    <row r="1336" customFormat="false" ht="15" hidden="false" customHeight="false" outlineLevel="0" collapsed="false">
      <c r="B1336" s="28"/>
      <c r="C1336" s="24" t="str">
        <f aca="false">IF(B1336="","",DATE(YEAR(B1336),MONTH(B1336),1))</f>
        <v/>
      </c>
      <c r="N1336" s="26" t="str">
        <f aca="false">IF(L1336="","",L1336*M1336)</f>
        <v/>
      </c>
      <c r="P1336" s="26" t="str">
        <f aca="false">IF(L1336="","",N1336-L1336*O1336)</f>
        <v/>
      </c>
      <c r="T1336" s="22" t="str">
        <f aca="false">IF(R1336="","",IF(R1336&lt;=Q1336,"Yes","No"))</f>
        <v/>
      </c>
      <c r="U1336" s="22" t="str">
        <f aca="false">IF(B1336="","",TEXT(YEAR(B1336),"0"))</f>
        <v/>
      </c>
    </row>
    <row r="1337" customFormat="false" ht="15" hidden="false" customHeight="false" outlineLevel="0" collapsed="false">
      <c r="B1337" s="28"/>
      <c r="C1337" s="24" t="str">
        <f aca="false">IF(B1337="","",DATE(YEAR(B1337),MONTH(B1337),1))</f>
        <v/>
      </c>
      <c r="N1337" s="26" t="str">
        <f aca="false">IF(L1337="","",L1337*M1337)</f>
        <v/>
      </c>
      <c r="P1337" s="26" t="str">
        <f aca="false">IF(L1337="","",N1337-L1337*O1337)</f>
        <v/>
      </c>
      <c r="T1337" s="22" t="str">
        <f aca="false">IF(R1337="","",IF(R1337&lt;=Q1337,"Yes","No"))</f>
        <v/>
      </c>
      <c r="U1337" s="22" t="str">
        <f aca="false">IF(B1337="","",TEXT(YEAR(B1337),"0"))</f>
        <v/>
      </c>
    </row>
    <row r="1338" customFormat="false" ht="15" hidden="false" customHeight="false" outlineLevel="0" collapsed="false">
      <c r="B1338" s="28"/>
      <c r="C1338" s="24" t="str">
        <f aca="false">IF(B1338="","",DATE(YEAR(B1338),MONTH(B1338),1))</f>
        <v/>
      </c>
      <c r="N1338" s="26" t="str">
        <f aca="false">IF(L1338="","",L1338*M1338)</f>
        <v/>
      </c>
      <c r="P1338" s="26" t="str">
        <f aca="false">IF(L1338="","",N1338-L1338*O1338)</f>
        <v/>
      </c>
      <c r="T1338" s="22" t="str">
        <f aca="false">IF(R1338="","",IF(R1338&lt;=Q1338,"Yes","No"))</f>
        <v/>
      </c>
      <c r="U1338" s="22" t="str">
        <f aca="false">IF(B1338="","",TEXT(YEAR(B1338),"0"))</f>
        <v/>
      </c>
    </row>
    <row r="1339" customFormat="false" ht="15" hidden="false" customHeight="false" outlineLevel="0" collapsed="false">
      <c r="B1339" s="28"/>
      <c r="C1339" s="24" t="str">
        <f aca="false">IF(B1339="","",DATE(YEAR(B1339),MONTH(B1339),1))</f>
        <v/>
      </c>
      <c r="N1339" s="26" t="str">
        <f aca="false">IF(L1339="","",L1339*M1339)</f>
        <v/>
      </c>
      <c r="P1339" s="26" t="str">
        <f aca="false">IF(L1339="","",N1339-L1339*O1339)</f>
        <v/>
      </c>
      <c r="T1339" s="22" t="str">
        <f aca="false">IF(R1339="","",IF(R1339&lt;=Q1339,"Yes","No"))</f>
        <v/>
      </c>
      <c r="U1339" s="22" t="str">
        <f aca="false">IF(B1339="","",TEXT(YEAR(B1339),"0"))</f>
        <v/>
      </c>
    </row>
    <row r="1340" customFormat="false" ht="15" hidden="false" customHeight="false" outlineLevel="0" collapsed="false">
      <c r="B1340" s="28"/>
      <c r="C1340" s="24" t="str">
        <f aca="false">IF(B1340="","",DATE(YEAR(B1340),MONTH(B1340),1))</f>
        <v/>
      </c>
      <c r="N1340" s="26" t="str">
        <f aca="false">IF(L1340="","",L1340*M1340)</f>
        <v/>
      </c>
      <c r="P1340" s="26" t="str">
        <f aca="false">IF(L1340="","",N1340-L1340*O1340)</f>
        <v/>
      </c>
      <c r="T1340" s="22" t="str">
        <f aca="false">IF(R1340="","",IF(R1340&lt;=Q1340,"Yes","No"))</f>
        <v/>
      </c>
      <c r="U1340" s="22" t="str">
        <f aca="false">IF(B1340="","",TEXT(YEAR(B1340),"0"))</f>
        <v/>
      </c>
    </row>
    <row r="1341" customFormat="false" ht="15" hidden="false" customHeight="false" outlineLevel="0" collapsed="false">
      <c r="B1341" s="28"/>
      <c r="C1341" s="24" t="str">
        <f aca="false">IF(B1341="","",DATE(YEAR(B1341),MONTH(B1341),1))</f>
        <v/>
      </c>
      <c r="N1341" s="26" t="str">
        <f aca="false">IF(L1341="","",L1341*M1341)</f>
        <v/>
      </c>
      <c r="P1341" s="26" t="str">
        <f aca="false">IF(L1341="","",N1341-L1341*O1341)</f>
        <v/>
      </c>
      <c r="T1341" s="22" t="str">
        <f aca="false">IF(R1341="","",IF(R1341&lt;=Q1341,"Yes","No"))</f>
        <v/>
      </c>
      <c r="U1341" s="22" t="str">
        <f aca="false">IF(B1341="","",TEXT(YEAR(B1341),"0"))</f>
        <v/>
      </c>
    </row>
    <row r="1342" customFormat="false" ht="15" hidden="false" customHeight="false" outlineLevel="0" collapsed="false">
      <c r="B1342" s="28"/>
      <c r="C1342" s="24" t="str">
        <f aca="false">IF(B1342="","",DATE(YEAR(B1342),MONTH(B1342),1))</f>
        <v/>
      </c>
      <c r="N1342" s="26" t="str">
        <f aca="false">IF(L1342="","",L1342*M1342)</f>
        <v/>
      </c>
      <c r="P1342" s="26" t="str">
        <f aca="false">IF(L1342="","",N1342-L1342*O1342)</f>
        <v/>
      </c>
      <c r="T1342" s="22" t="str">
        <f aca="false">IF(R1342="","",IF(R1342&lt;=Q1342,"Yes","No"))</f>
        <v/>
      </c>
      <c r="U1342" s="22" t="str">
        <f aca="false">IF(B1342="","",TEXT(YEAR(B1342),"0"))</f>
        <v/>
      </c>
    </row>
    <row r="1343" customFormat="false" ht="15" hidden="false" customHeight="false" outlineLevel="0" collapsed="false">
      <c r="B1343" s="28"/>
      <c r="C1343" s="24" t="str">
        <f aca="false">IF(B1343="","",DATE(YEAR(B1343),MONTH(B1343),1))</f>
        <v/>
      </c>
      <c r="N1343" s="26" t="str">
        <f aca="false">IF(L1343="","",L1343*M1343)</f>
        <v/>
      </c>
      <c r="P1343" s="26" t="str">
        <f aca="false">IF(L1343="","",N1343-L1343*O1343)</f>
        <v/>
      </c>
      <c r="T1343" s="22" t="str">
        <f aca="false">IF(R1343="","",IF(R1343&lt;=Q1343,"Yes","No"))</f>
        <v/>
      </c>
      <c r="U1343" s="22" t="str">
        <f aca="false">IF(B1343="","",TEXT(YEAR(B1343),"0"))</f>
        <v/>
      </c>
    </row>
    <row r="1344" customFormat="false" ht="15" hidden="false" customHeight="false" outlineLevel="0" collapsed="false">
      <c r="B1344" s="28"/>
      <c r="C1344" s="24" t="str">
        <f aca="false">IF(B1344="","",DATE(YEAR(B1344),MONTH(B1344),1))</f>
        <v/>
      </c>
      <c r="N1344" s="26" t="str">
        <f aca="false">IF(L1344="","",L1344*M1344)</f>
        <v/>
      </c>
      <c r="P1344" s="26" t="str">
        <f aca="false">IF(L1344="","",N1344-L1344*O1344)</f>
        <v/>
      </c>
      <c r="T1344" s="22" t="str">
        <f aca="false">IF(R1344="","",IF(R1344&lt;=Q1344,"Yes","No"))</f>
        <v/>
      </c>
      <c r="U1344" s="22" t="str">
        <f aca="false">IF(B1344="","",TEXT(YEAR(B1344),"0"))</f>
        <v/>
      </c>
    </row>
    <row r="1345" customFormat="false" ht="15" hidden="false" customHeight="false" outlineLevel="0" collapsed="false">
      <c r="B1345" s="28"/>
      <c r="C1345" s="24" t="str">
        <f aca="false">IF(B1345="","",DATE(YEAR(B1345),MONTH(B1345),1))</f>
        <v/>
      </c>
      <c r="N1345" s="26" t="str">
        <f aca="false">IF(L1345="","",L1345*M1345)</f>
        <v/>
      </c>
      <c r="P1345" s="26" t="str">
        <f aca="false">IF(L1345="","",N1345-L1345*O1345)</f>
        <v/>
      </c>
      <c r="T1345" s="22" t="str">
        <f aca="false">IF(R1345="","",IF(R1345&lt;=Q1345,"Yes","No"))</f>
        <v/>
      </c>
      <c r="U1345" s="22" t="str">
        <f aca="false">IF(B1345="","",TEXT(YEAR(B1345),"0"))</f>
        <v/>
      </c>
    </row>
    <row r="1346" customFormat="false" ht="15" hidden="false" customHeight="false" outlineLevel="0" collapsed="false">
      <c r="B1346" s="28"/>
      <c r="C1346" s="24" t="str">
        <f aca="false">IF(B1346="","",DATE(YEAR(B1346),MONTH(B1346),1))</f>
        <v/>
      </c>
      <c r="N1346" s="26" t="str">
        <f aca="false">IF(L1346="","",L1346*M1346)</f>
        <v/>
      </c>
      <c r="P1346" s="26" t="str">
        <f aca="false">IF(L1346="","",N1346-L1346*O1346)</f>
        <v/>
      </c>
      <c r="T1346" s="22" t="str">
        <f aca="false">IF(R1346="","",IF(R1346&lt;=Q1346,"Yes","No"))</f>
        <v/>
      </c>
      <c r="U1346" s="22" t="str">
        <f aca="false">IF(B1346="","",TEXT(YEAR(B1346),"0"))</f>
        <v/>
      </c>
    </row>
    <row r="1347" customFormat="false" ht="15" hidden="false" customHeight="false" outlineLevel="0" collapsed="false">
      <c r="B1347" s="28"/>
      <c r="C1347" s="24" t="str">
        <f aca="false">IF(B1347="","",DATE(YEAR(B1347),MONTH(B1347),1))</f>
        <v/>
      </c>
      <c r="N1347" s="26" t="str">
        <f aca="false">IF(L1347="","",L1347*M1347)</f>
        <v/>
      </c>
      <c r="P1347" s="26" t="str">
        <f aca="false">IF(L1347="","",N1347-L1347*O1347)</f>
        <v/>
      </c>
      <c r="T1347" s="22" t="str">
        <f aca="false">IF(R1347="","",IF(R1347&lt;=Q1347,"Yes","No"))</f>
        <v/>
      </c>
      <c r="U1347" s="22" t="str">
        <f aca="false">IF(B1347="","",TEXT(YEAR(B1347),"0"))</f>
        <v/>
      </c>
    </row>
    <row r="1348" customFormat="false" ht="15" hidden="false" customHeight="false" outlineLevel="0" collapsed="false">
      <c r="B1348" s="28"/>
      <c r="C1348" s="24" t="str">
        <f aca="false">IF(B1348="","",DATE(YEAR(B1348),MONTH(B1348),1))</f>
        <v/>
      </c>
      <c r="N1348" s="26" t="str">
        <f aca="false">IF(L1348="","",L1348*M1348)</f>
        <v/>
      </c>
      <c r="P1348" s="26" t="str">
        <f aca="false">IF(L1348="","",N1348-L1348*O1348)</f>
        <v/>
      </c>
      <c r="T1348" s="22" t="str">
        <f aca="false">IF(R1348="","",IF(R1348&lt;=Q1348,"Yes","No"))</f>
        <v/>
      </c>
      <c r="U1348" s="22" t="str">
        <f aca="false">IF(B1348="","",TEXT(YEAR(B1348),"0"))</f>
        <v/>
      </c>
    </row>
    <row r="1349" customFormat="false" ht="15" hidden="false" customHeight="false" outlineLevel="0" collapsed="false">
      <c r="B1349" s="28"/>
      <c r="C1349" s="24" t="str">
        <f aca="false">IF(B1349="","",DATE(YEAR(B1349),MONTH(B1349),1))</f>
        <v/>
      </c>
      <c r="N1349" s="26" t="str">
        <f aca="false">IF(L1349="","",L1349*M1349)</f>
        <v/>
      </c>
      <c r="P1349" s="26" t="str">
        <f aca="false">IF(L1349="","",N1349-L1349*O1349)</f>
        <v/>
      </c>
      <c r="T1349" s="22" t="str">
        <f aca="false">IF(R1349="","",IF(R1349&lt;=Q1349,"Yes","No"))</f>
        <v/>
      </c>
      <c r="U1349" s="22" t="str">
        <f aca="false">IF(B1349="","",TEXT(YEAR(B1349),"0"))</f>
        <v/>
      </c>
    </row>
    <row r="1350" customFormat="false" ht="15" hidden="false" customHeight="false" outlineLevel="0" collapsed="false">
      <c r="B1350" s="28"/>
      <c r="C1350" s="24" t="str">
        <f aca="false">IF(B1350="","",DATE(YEAR(B1350),MONTH(B1350),1))</f>
        <v/>
      </c>
      <c r="N1350" s="26" t="str">
        <f aca="false">IF(L1350="","",L1350*M1350)</f>
        <v/>
      </c>
      <c r="P1350" s="26" t="str">
        <f aca="false">IF(L1350="","",N1350-L1350*O1350)</f>
        <v/>
      </c>
      <c r="T1350" s="22" t="str">
        <f aca="false">IF(R1350="","",IF(R1350&lt;=Q1350,"Yes","No"))</f>
        <v/>
      </c>
      <c r="U1350" s="22" t="str">
        <f aca="false">IF(B1350="","",TEXT(YEAR(B1350),"0"))</f>
        <v/>
      </c>
    </row>
    <row r="1351" customFormat="false" ht="15" hidden="false" customHeight="false" outlineLevel="0" collapsed="false">
      <c r="B1351" s="28"/>
      <c r="C1351" s="24" t="str">
        <f aca="false">IF(B1351="","",DATE(YEAR(B1351),MONTH(B1351),1))</f>
        <v/>
      </c>
      <c r="N1351" s="26" t="str">
        <f aca="false">IF(L1351="","",L1351*M1351)</f>
        <v/>
      </c>
      <c r="P1351" s="26" t="str">
        <f aca="false">IF(L1351="","",N1351-L1351*O1351)</f>
        <v/>
      </c>
      <c r="T1351" s="22" t="str">
        <f aca="false">IF(R1351="","",IF(R1351&lt;=Q1351,"Yes","No"))</f>
        <v/>
      </c>
      <c r="U1351" s="22" t="str">
        <f aca="false">IF(B1351="","",TEXT(YEAR(B1351),"0"))</f>
        <v/>
      </c>
    </row>
    <row r="1352" customFormat="false" ht="15" hidden="false" customHeight="false" outlineLevel="0" collapsed="false">
      <c r="B1352" s="28"/>
      <c r="C1352" s="24" t="str">
        <f aca="false">IF(B1352="","",DATE(YEAR(B1352),MONTH(B1352),1))</f>
        <v/>
      </c>
      <c r="N1352" s="26" t="str">
        <f aca="false">IF(L1352="","",L1352*M1352)</f>
        <v/>
      </c>
      <c r="P1352" s="26" t="str">
        <f aca="false">IF(L1352="","",N1352-L1352*O1352)</f>
        <v/>
      </c>
      <c r="T1352" s="22" t="str">
        <f aca="false">IF(R1352="","",IF(R1352&lt;=Q1352,"Yes","No"))</f>
        <v/>
      </c>
      <c r="U1352" s="22" t="str">
        <f aca="false">IF(B1352="","",TEXT(YEAR(B1352),"0"))</f>
        <v/>
      </c>
    </row>
    <row r="1353" customFormat="false" ht="15" hidden="false" customHeight="false" outlineLevel="0" collapsed="false">
      <c r="B1353" s="28"/>
      <c r="C1353" s="24" t="str">
        <f aca="false">IF(B1353="","",DATE(YEAR(B1353),MONTH(B1353),1))</f>
        <v/>
      </c>
      <c r="N1353" s="26" t="str">
        <f aca="false">IF(L1353="","",L1353*M1353)</f>
        <v/>
      </c>
      <c r="P1353" s="26" t="str">
        <f aca="false">IF(L1353="","",N1353-L1353*O1353)</f>
        <v/>
      </c>
      <c r="T1353" s="22" t="str">
        <f aca="false">IF(R1353="","",IF(R1353&lt;=Q1353,"Yes","No"))</f>
        <v/>
      </c>
      <c r="U1353" s="22" t="str">
        <f aca="false">IF(B1353="","",TEXT(YEAR(B1353),"0"))</f>
        <v/>
      </c>
    </row>
    <row r="1354" customFormat="false" ht="15" hidden="false" customHeight="false" outlineLevel="0" collapsed="false">
      <c r="B1354" s="28"/>
      <c r="C1354" s="24" t="str">
        <f aca="false">IF(B1354="","",DATE(YEAR(B1354),MONTH(B1354),1))</f>
        <v/>
      </c>
      <c r="N1354" s="26" t="str">
        <f aca="false">IF(L1354="","",L1354*M1354)</f>
        <v/>
      </c>
      <c r="P1354" s="26" t="str">
        <f aca="false">IF(L1354="","",N1354-L1354*O1354)</f>
        <v/>
      </c>
      <c r="T1354" s="22" t="str">
        <f aca="false">IF(R1354="","",IF(R1354&lt;=Q1354,"Yes","No"))</f>
        <v/>
      </c>
      <c r="U1354" s="22" t="str">
        <f aca="false">IF(B1354="","",TEXT(YEAR(B1354),"0"))</f>
        <v/>
      </c>
    </row>
    <row r="1355" customFormat="false" ht="15" hidden="false" customHeight="false" outlineLevel="0" collapsed="false">
      <c r="B1355" s="28"/>
      <c r="C1355" s="24" t="str">
        <f aca="false">IF(B1355="","",DATE(YEAR(B1355),MONTH(B1355),1))</f>
        <v/>
      </c>
      <c r="N1355" s="26" t="str">
        <f aca="false">IF(L1355="","",L1355*M1355)</f>
        <v/>
      </c>
      <c r="P1355" s="26" t="str">
        <f aca="false">IF(L1355="","",N1355-L1355*O1355)</f>
        <v/>
      </c>
      <c r="T1355" s="22" t="str">
        <f aca="false">IF(R1355="","",IF(R1355&lt;=Q1355,"Yes","No"))</f>
        <v/>
      </c>
      <c r="U1355" s="22" t="str">
        <f aca="false">IF(B1355="","",TEXT(YEAR(B1355),"0"))</f>
        <v/>
      </c>
    </row>
    <row r="1356" customFormat="false" ht="15" hidden="false" customHeight="false" outlineLevel="0" collapsed="false">
      <c r="B1356" s="28"/>
      <c r="C1356" s="24" t="str">
        <f aca="false">IF(B1356="","",DATE(YEAR(B1356),MONTH(B1356),1))</f>
        <v/>
      </c>
      <c r="N1356" s="26" t="str">
        <f aca="false">IF(L1356="","",L1356*M1356)</f>
        <v/>
      </c>
      <c r="P1356" s="26" t="str">
        <f aca="false">IF(L1356="","",N1356-L1356*O1356)</f>
        <v/>
      </c>
      <c r="T1356" s="22" t="str">
        <f aca="false">IF(R1356="","",IF(R1356&lt;=Q1356,"Yes","No"))</f>
        <v/>
      </c>
      <c r="U1356" s="22" t="str">
        <f aca="false">IF(B1356="","",TEXT(YEAR(B1356),"0"))</f>
        <v/>
      </c>
    </row>
    <row r="1357" customFormat="false" ht="15" hidden="false" customHeight="false" outlineLevel="0" collapsed="false">
      <c r="B1357" s="28"/>
      <c r="C1357" s="24" t="str">
        <f aca="false">IF(B1357="","",DATE(YEAR(B1357),MONTH(B1357),1))</f>
        <v/>
      </c>
      <c r="N1357" s="26" t="str">
        <f aca="false">IF(L1357="","",L1357*M1357)</f>
        <v/>
      </c>
      <c r="P1357" s="26" t="str">
        <f aca="false">IF(L1357="","",N1357-L1357*O1357)</f>
        <v/>
      </c>
      <c r="T1357" s="22" t="str">
        <f aca="false">IF(R1357="","",IF(R1357&lt;=Q1357,"Yes","No"))</f>
        <v/>
      </c>
      <c r="U1357" s="22" t="str">
        <f aca="false">IF(B1357="","",TEXT(YEAR(B1357),"0"))</f>
        <v/>
      </c>
    </row>
    <row r="1358" customFormat="false" ht="15" hidden="false" customHeight="false" outlineLevel="0" collapsed="false">
      <c r="B1358" s="28"/>
      <c r="C1358" s="24" t="str">
        <f aca="false">IF(B1358="","",DATE(YEAR(B1358),MONTH(B1358),1))</f>
        <v/>
      </c>
      <c r="N1358" s="26" t="str">
        <f aca="false">IF(L1358="","",L1358*M1358)</f>
        <v/>
      </c>
      <c r="P1358" s="26" t="str">
        <f aca="false">IF(L1358="","",N1358-L1358*O1358)</f>
        <v/>
      </c>
      <c r="T1358" s="22" t="str">
        <f aca="false">IF(R1358="","",IF(R1358&lt;=Q1358,"Yes","No"))</f>
        <v/>
      </c>
      <c r="U1358" s="22" t="str">
        <f aca="false">IF(B1358="","",TEXT(YEAR(B1358),"0"))</f>
        <v/>
      </c>
    </row>
    <row r="1359" customFormat="false" ht="15" hidden="false" customHeight="false" outlineLevel="0" collapsed="false">
      <c r="B1359" s="28"/>
      <c r="C1359" s="24" t="str">
        <f aca="false">IF(B1359="","",DATE(YEAR(B1359),MONTH(B1359),1))</f>
        <v/>
      </c>
      <c r="N1359" s="26" t="str">
        <f aca="false">IF(L1359="","",L1359*M1359)</f>
        <v/>
      </c>
      <c r="P1359" s="26" t="str">
        <f aca="false">IF(L1359="","",N1359-L1359*O1359)</f>
        <v/>
      </c>
      <c r="T1359" s="22" t="str">
        <f aca="false">IF(R1359="","",IF(R1359&lt;=Q1359,"Yes","No"))</f>
        <v/>
      </c>
      <c r="U1359" s="22" t="str">
        <f aca="false">IF(B1359="","",TEXT(YEAR(B1359),"0"))</f>
        <v/>
      </c>
    </row>
    <row r="1360" customFormat="false" ht="15" hidden="false" customHeight="false" outlineLevel="0" collapsed="false">
      <c r="B1360" s="28"/>
      <c r="C1360" s="24" t="str">
        <f aca="false">IF(B1360="","",DATE(YEAR(B1360),MONTH(B1360),1))</f>
        <v/>
      </c>
      <c r="N1360" s="26" t="str">
        <f aca="false">IF(L1360="","",L1360*M1360)</f>
        <v/>
      </c>
      <c r="P1360" s="26" t="str">
        <f aca="false">IF(L1360="","",N1360-L1360*O1360)</f>
        <v/>
      </c>
      <c r="T1360" s="22" t="str">
        <f aca="false">IF(R1360="","",IF(R1360&lt;=Q1360,"Yes","No"))</f>
        <v/>
      </c>
      <c r="U1360" s="22" t="str">
        <f aca="false">IF(B1360="","",TEXT(YEAR(B1360),"0"))</f>
        <v/>
      </c>
    </row>
    <row r="1361" customFormat="false" ht="15" hidden="false" customHeight="false" outlineLevel="0" collapsed="false">
      <c r="B1361" s="28"/>
      <c r="C1361" s="24" t="str">
        <f aca="false">IF(B1361="","",DATE(YEAR(B1361),MONTH(B1361),1))</f>
        <v/>
      </c>
      <c r="N1361" s="26" t="str">
        <f aca="false">IF(L1361="","",L1361*M1361)</f>
        <v/>
      </c>
      <c r="P1361" s="26" t="str">
        <f aca="false">IF(L1361="","",N1361-L1361*O1361)</f>
        <v/>
      </c>
      <c r="T1361" s="22" t="str">
        <f aca="false">IF(R1361="","",IF(R1361&lt;=Q1361,"Yes","No"))</f>
        <v/>
      </c>
      <c r="U1361" s="22" t="str">
        <f aca="false">IF(B1361="","",TEXT(YEAR(B1361),"0"))</f>
        <v/>
      </c>
    </row>
    <row r="1362" customFormat="false" ht="15" hidden="false" customHeight="false" outlineLevel="0" collapsed="false">
      <c r="B1362" s="28"/>
      <c r="C1362" s="24" t="str">
        <f aca="false">IF(B1362="","",DATE(YEAR(B1362),MONTH(B1362),1))</f>
        <v/>
      </c>
      <c r="N1362" s="26" t="str">
        <f aca="false">IF(L1362="","",L1362*M1362)</f>
        <v/>
      </c>
      <c r="P1362" s="26" t="str">
        <f aca="false">IF(L1362="","",N1362-L1362*O1362)</f>
        <v/>
      </c>
      <c r="T1362" s="22" t="str">
        <f aca="false">IF(R1362="","",IF(R1362&lt;=Q1362,"Yes","No"))</f>
        <v/>
      </c>
      <c r="U1362" s="22" t="str">
        <f aca="false">IF(B1362="","",TEXT(YEAR(B1362),"0"))</f>
        <v/>
      </c>
    </row>
    <row r="1363" customFormat="false" ht="15" hidden="false" customHeight="false" outlineLevel="0" collapsed="false">
      <c r="B1363" s="28"/>
      <c r="C1363" s="24" t="str">
        <f aca="false">IF(B1363="","",DATE(YEAR(B1363),MONTH(B1363),1))</f>
        <v/>
      </c>
      <c r="N1363" s="26" t="str">
        <f aca="false">IF(L1363="","",L1363*M1363)</f>
        <v/>
      </c>
      <c r="P1363" s="26" t="str">
        <f aca="false">IF(L1363="","",N1363-L1363*O1363)</f>
        <v/>
      </c>
      <c r="T1363" s="22" t="str">
        <f aca="false">IF(R1363="","",IF(R1363&lt;=Q1363,"Yes","No"))</f>
        <v/>
      </c>
      <c r="U1363" s="22" t="str">
        <f aca="false">IF(B1363="","",TEXT(YEAR(B1363),"0"))</f>
        <v/>
      </c>
    </row>
    <row r="1364" customFormat="false" ht="15" hidden="false" customHeight="false" outlineLevel="0" collapsed="false">
      <c r="B1364" s="28"/>
      <c r="C1364" s="24" t="str">
        <f aca="false">IF(B1364="","",DATE(YEAR(B1364),MONTH(B1364),1))</f>
        <v/>
      </c>
      <c r="N1364" s="26" t="str">
        <f aca="false">IF(L1364="","",L1364*M1364)</f>
        <v/>
      </c>
      <c r="P1364" s="26" t="str">
        <f aca="false">IF(L1364="","",N1364-L1364*O1364)</f>
        <v/>
      </c>
      <c r="T1364" s="22" t="str">
        <f aca="false">IF(R1364="","",IF(R1364&lt;=Q1364,"Yes","No"))</f>
        <v/>
      </c>
      <c r="U1364" s="22" t="str">
        <f aca="false">IF(B1364="","",TEXT(YEAR(B1364),"0"))</f>
        <v/>
      </c>
    </row>
    <row r="1365" customFormat="false" ht="15" hidden="false" customHeight="false" outlineLevel="0" collapsed="false">
      <c r="B1365" s="28"/>
      <c r="C1365" s="24" t="str">
        <f aca="false">IF(B1365="","",DATE(YEAR(B1365),MONTH(B1365),1))</f>
        <v/>
      </c>
      <c r="N1365" s="26" t="str">
        <f aca="false">IF(L1365="","",L1365*M1365)</f>
        <v/>
      </c>
      <c r="P1365" s="26" t="str">
        <f aca="false">IF(L1365="","",N1365-L1365*O1365)</f>
        <v/>
      </c>
      <c r="T1365" s="22" t="str">
        <f aca="false">IF(R1365="","",IF(R1365&lt;=Q1365,"Yes","No"))</f>
        <v/>
      </c>
      <c r="U1365" s="22" t="str">
        <f aca="false">IF(B1365="","",TEXT(YEAR(B1365),"0"))</f>
        <v/>
      </c>
    </row>
    <row r="1366" customFormat="false" ht="15" hidden="false" customHeight="false" outlineLevel="0" collapsed="false">
      <c r="B1366" s="28"/>
      <c r="C1366" s="24" t="str">
        <f aca="false">IF(B1366="","",DATE(YEAR(B1366),MONTH(B1366),1))</f>
        <v/>
      </c>
      <c r="N1366" s="26" t="str">
        <f aca="false">IF(L1366="","",L1366*M1366)</f>
        <v/>
      </c>
      <c r="P1366" s="26" t="str">
        <f aca="false">IF(L1366="","",N1366-L1366*O1366)</f>
        <v/>
      </c>
      <c r="T1366" s="22" t="str">
        <f aca="false">IF(R1366="","",IF(R1366&lt;=Q1366,"Yes","No"))</f>
        <v/>
      </c>
      <c r="U1366" s="22" t="str">
        <f aca="false">IF(B1366="","",TEXT(YEAR(B1366),"0"))</f>
        <v/>
      </c>
    </row>
    <row r="1367" customFormat="false" ht="15" hidden="false" customHeight="false" outlineLevel="0" collapsed="false">
      <c r="B1367" s="28"/>
      <c r="C1367" s="24" t="str">
        <f aca="false">IF(B1367="","",DATE(YEAR(B1367),MONTH(B1367),1))</f>
        <v/>
      </c>
      <c r="N1367" s="26" t="str">
        <f aca="false">IF(L1367="","",L1367*M1367)</f>
        <v/>
      </c>
      <c r="P1367" s="26" t="str">
        <f aca="false">IF(L1367="","",N1367-L1367*O1367)</f>
        <v/>
      </c>
      <c r="T1367" s="22" t="str">
        <f aca="false">IF(R1367="","",IF(R1367&lt;=Q1367,"Yes","No"))</f>
        <v/>
      </c>
      <c r="U1367" s="22" t="str">
        <f aca="false">IF(B1367="","",TEXT(YEAR(B1367),"0"))</f>
        <v/>
      </c>
    </row>
    <row r="1368" customFormat="false" ht="15" hidden="false" customHeight="false" outlineLevel="0" collapsed="false">
      <c r="B1368" s="28"/>
      <c r="C1368" s="24" t="str">
        <f aca="false">IF(B1368="","",DATE(YEAR(B1368),MONTH(B1368),1))</f>
        <v/>
      </c>
      <c r="N1368" s="26" t="str">
        <f aca="false">IF(L1368="","",L1368*M1368)</f>
        <v/>
      </c>
      <c r="P1368" s="26" t="str">
        <f aca="false">IF(L1368="","",N1368-L1368*O1368)</f>
        <v/>
      </c>
      <c r="T1368" s="22" t="str">
        <f aca="false">IF(R1368="","",IF(R1368&lt;=Q1368,"Yes","No"))</f>
        <v/>
      </c>
      <c r="U1368" s="22" t="str">
        <f aca="false">IF(B1368="","",TEXT(YEAR(B1368),"0"))</f>
        <v/>
      </c>
    </row>
    <row r="1369" customFormat="false" ht="15" hidden="false" customHeight="false" outlineLevel="0" collapsed="false">
      <c r="B1369" s="28"/>
      <c r="C1369" s="24" t="str">
        <f aca="false">IF(B1369="","",DATE(YEAR(B1369),MONTH(B1369),1))</f>
        <v/>
      </c>
      <c r="N1369" s="26" t="str">
        <f aca="false">IF(L1369="","",L1369*M1369)</f>
        <v/>
      </c>
      <c r="P1369" s="26" t="str">
        <f aca="false">IF(L1369="","",N1369-L1369*O1369)</f>
        <v/>
      </c>
      <c r="T1369" s="22" t="str">
        <f aca="false">IF(R1369="","",IF(R1369&lt;=Q1369,"Yes","No"))</f>
        <v/>
      </c>
      <c r="U1369" s="22" t="str">
        <f aca="false">IF(B1369="","",TEXT(YEAR(B1369),"0"))</f>
        <v/>
      </c>
    </row>
    <row r="1370" customFormat="false" ht="15" hidden="false" customHeight="false" outlineLevel="0" collapsed="false">
      <c r="B1370" s="28"/>
      <c r="C1370" s="24" t="str">
        <f aca="false">IF(B1370="","",DATE(YEAR(B1370),MONTH(B1370),1))</f>
        <v/>
      </c>
      <c r="N1370" s="26" t="str">
        <f aca="false">IF(L1370="","",L1370*M1370)</f>
        <v/>
      </c>
      <c r="P1370" s="26" t="str">
        <f aca="false">IF(L1370="","",N1370-L1370*O1370)</f>
        <v/>
      </c>
      <c r="T1370" s="22" t="str">
        <f aca="false">IF(R1370="","",IF(R1370&lt;=Q1370,"Yes","No"))</f>
        <v/>
      </c>
      <c r="U1370" s="22" t="str">
        <f aca="false">IF(B1370="","",TEXT(YEAR(B1370),"0"))</f>
        <v/>
      </c>
    </row>
    <row r="1371" customFormat="false" ht="15" hidden="false" customHeight="false" outlineLevel="0" collapsed="false">
      <c r="B1371" s="28"/>
      <c r="C1371" s="24" t="str">
        <f aca="false">IF(B1371="","",DATE(YEAR(B1371),MONTH(B1371),1))</f>
        <v/>
      </c>
      <c r="N1371" s="26" t="str">
        <f aca="false">IF(L1371="","",L1371*M1371)</f>
        <v/>
      </c>
      <c r="P1371" s="26" t="str">
        <f aca="false">IF(L1371="","",N1371-L1371*O1371)</f>
        <v/>
      </c>
      <c r="T1371" s="22" t="str">
        <f aca="false">IF(R1371="","",IF(R1371&lt;=Q1371,"Yes","No"))</f>
        <v/>
      </c>
      <c r="U1371" s="22" t="str">
        <f aca="false">IF(B1371="","",TEXT(YEAR(B1371),"0"))</f>
        <v/>
      </c>
    </row>
    <row r="1372" customFormat="false" ht="15" hidden="false" customHeight="false" outlineLevel="0" collapsed="false">
      <c r="B1372" s="28"/>
      <c r="C1372" s="24" t="str">
        <f aca="false">IF(B1372="","",DATE(YEAR(B1372),MONTH(B1372),1))</f>
        <v/>
      </c>
      <c r="N1372" s="26" t="str">
        <f aca="false">IF(L1372="","",L1372*M1372)</f>
        <v/>
      </c>
      <c r="P1372" s="26" t="str">
        <f aca="false">IF(L1372="","",N1372-L1372*O1372)</f>
        <v/>
      </c>
      <c r="T1372" s="22" t="str">
        <f aca="false">IF(R1372="","",IF(R1372&lt;=Q1372,"Yes","No"))</f>
        <v/>
      </c>
      <c r="U1372" s="22" t="str">
        <f aca="false">IF(B1372="","",TEXT(YEAR(B1372),"0"))</f>
        <v/>
      </c>
    </row>
    <row r="1373" customFormat="false" ht="15" hidden="false" customHeight="false" outlineLevel="0" collapsed="false">
      <c r="B1373" s="28"/>
      <c r="C1373" s="24" t="str">
        <f aca="false">IF(B1373="","",DATE(YEAR(B1373),MONTH(B1373),1))</f>
        <v/>
      </c>
      <c r="N1373" s="26" t="str">
        <f aca="false">IF(L1373="","",L1373*M1373)</f>
        <v/>
      </c>
      <c r="P1373" s="26" t="str">
        <f aca="false">IF(L1373="","",N1373-L1373*O1373)</f>
        <v/>
      </c>
      <c r="T1373" s="22" t="str">
        <f aca="false">IF(R1373="","",IF(R1373&lt;=Q1373,"Yes","No"))</f>
        <v/>
      </c>
      <c r="U1373" s="22" t="str">
        <f aca="false">IF(B1373="","",TEXT(YEAR(B1373),"0"))</f>
        <v/>
      </c>
    </row>
    <row r="1374" customFormat="false" ht="15" hidden="false" customHeight="false" outlineLevel="0" collapsed="false">
      <c r="B1374" s="28"/>
      <c r="C1374" s="24" t="str">
        <f aca="false">IF(B1374="","",DATE(YEAR(B1374),MONTH(B1374),1))</f>
        <v/>
      </c>
      <c r="N1374" s="26" t="str">
        <f aca="false">IF(L1374="","",L1374*M1374)</f>
        <v/>
      </c>
      <c r="P1374" s="26" t="str">
        <f aca="false">IF(L1374="","",N1374-L1374*O1374)</f>
        <v/>
      </c>
      <c r="T1374" s="22" t="str">
        <f aca="false">IF(R1374="","",IF(R1374&lt;=Q1374,"Yes","No"))</f>
        <v/>
      </c>
      <c r="U1374" s="22" t="str">
        <f aca="false">IF(B1374="","",TEXT(YEAR(B1374),"0"))</f>
        <v/>
      </c>
    </row>
    <row r="1375" customFormat="false" ht="15" hidden="false" customHeight="false" outlineLevel="0" collapsed="false">
      <c r="B1375" s="28"/>
      <c r="C1375" s="24" t="str">
        <f aca="false">IF(B1375="","",DATE(YEAR(B1375),MONTH(B1375),1))</f>
        <v/>
      </c>
      <c r="N1375" s="26" t="str">
        <f aca="false">IF(L1375="","",L1375*M1375)</f>
        <v/>
      </c>
      <c r="P1375" s="26" t="str">
        <f aca="false">IF(L1375="","",N1375-L1375*O1375)</f>
        <v/>
      </c>
      <c r="T1375" s="22" t="str">
        <f aca="false">IF(R1375="","",IF(R1375&lt;=Q1375,"Yes","No"))</f>
        <v/>
      </c>
      <c r="U1375" s="22" t="str">
        <f aca="false">IF(B1375="","",TEXT(YEAR(B1375),"0"))</f>
        <v/>
      </c>
    </row>
    <row r="1376" customFormat="false" ht="15" hidden="false" customHeight="false" outlineLevel="0" collapsed="false">
      <c r="B1376" s="28"/>
      <c r="C1376" s="24" t="str">
        <f aca="false">IF(B1376="","",DATE(YEAR(B1376),MONTH(B1376),1))</f>
        <v/>
      </c>
      <c r="N1376" s="26" t="str">
        <f aca="false">IF(L1376="","",L1376*M1376)</f>
        <v/>
      </c>
      <c r="P1376" s="26" t="str">
        <f aca="false">IF(L1376="","",N1376-L1376*O1376)</f>
        <v/>
      </c>
      <c r="T1376" s="22" t="str">
        <f aca="false">IF(R1376="","",IF(R1376&lt;=Q1376,"Yes","No"))</f>
        <v/>
      </c>
      <c r="U1376" s="22" t="str">
        <f aca="false">IF(B1376="","",TEXT(YEAR(B1376),"0"))</f>
        <v/>
      </c>
    </row>
    <row r="1377" customFormat="false" ht="15" hidden="false" customHeight="false" outlineLevel="0" collapsed="false">
      <c r="B1377" s="28"/>
      <c r="C1377" s="24" t="str">
        <f aca="false">IF(B1377="","",DATE(YEAR(B1377),MONTH(B1377),1))</f>
        <v/>
      </c>
      <c r="N1377" s="26" t="str">
        <f aca="false">IF(L1377="","",L1377*M1377)</f>
        <v/>
      </c>
      <c r="P1377" s="26" t="str">
        <f aca="false">IF(L1377="","",N1377-L1377*O1377)</f>
        <v/>
      </c>
      <c r="T1377" s="22" t="str">
        <f aca="false">IF(R1377="","",IF(R1377&lt;=Q1377,"Yes","No"))</f>
        <v/>
      </c>
      <c r="U1377" s="22" t="str">
        <f aca="false">IF(B1377="","",TEXT(YEAR(B1377),"0"))</f>
        <v/>
      </c>
    </row>
    <row r="1378" customFormat="false" ht="15" hidden="false" customHeight="false" outlineLevel="0" collapsed="false">
      <c r="B1378" s="28"/>
      <c r="C1378" s="24" t="str">
        <f aca="false">IF(B1378="","",DATE(YEAR(B1378),MONTH(B1378),1))</f>
        <v/>
      </c>
      <c r="N1378" s="26" t="str">
        <f aca="false">IF(L1378="","",L1378*M1378)</f>
        <v/>
      </c>
      <c r="P1378" s="26" t="str">
        <f aca="false">IF(L1378="","",N1378-L1378*O1378)</f>
        <v/>
      </c>
      <c r="T1378" s="22" t="str">
        <f aca="false">IF(R1378="","",IF(R1378&lt;=Q1378,"Yes","No"))</f>
        <v/>
      </c>
      <c r="U1378" s="22" t="str">
        <f aca="false">IF(B1378="","",TEXT(YEAR(B1378),"0"))</f>
        <v/>
      </c>
    </row>
    <row r="1379" customFormat="false" ht="15" hidden="false" customHeight="false" outlineLevel="0" collapsed="false">
      <c r="B1379" s="28"/>
      <c r="C1379" s="24" t="str">
        <f aca="false">IF(B1379="","",DATE(YEAR(B1379),MONTH(B1379),1))</f>
        <v/>
      </c>
      <c r="N1379" s="26" t="str">
        <f aca="false">IF(L1379="","",L1379*M1379)</f>
        <v/>
      </c>
      <c r="P1379" s="26" t="str">
        <f aca="false">IF(L1379="","",N1379-L1379*O1379)</f>
        <v/>
      </c>
      <c r="T1379" s="22" t="str">
        <f aca="false">IF(R1379="","",IF(R1379&lt;=Q1379,"Yes","No"))</f>
        <v/>
      </c>
      <c r="U1379" s="22" t="str">
        <f aca="false">IF(B1379="","",TEXT(YEAR(B1379),"0"))</f>
        <v/>
      </c>
    </row>
    <row r="1380" customFormat="false" ht="15" hidden="false" customHeight="false" outlineLevel="0" collapsed="false">
      <c r="B1380" s="28"/>
      <c r="C1380" s="24" t="str">
        <f aca="false">IF(B1380="","",DATE(YEAR(B1380),MONTH(B1380),1))</f>
        <v/>
      </c>
      <c r="N1380" s="26" t="str">
        <f aca="false">IF(L1380="","",L1380*M1380)</f>
        <v/>
      </c>
      <c r="P1380" s="26" t="str">
        <f aca="false">IF(L1380="","",N1380-L1380*O1380)</f>
        <v/>
      </c>
      <c r="T1380" s="22" t="str">
        <f aca="false">IF(R1380="","",IF(R1380&lt;=Q1380,"Yes","No"))</f>
        <v/>
      </c>
      <c r="U1380" s="22" t="str">
        <f aca="false">IF(B1380="","",TEXT(YEAR(B1380),"0"))</f>
        <v/>
      </c>
    </row>
    <row r="1381" customFormat="false" ht="15" hidden="false" customHeight="false" outlineLevel="0" collapsed="false">
      <c r="B1381" s="28"/>
      <c r="C1381" s="24" t="str">
        <f aca="false">IF(B1381="","",DATE(YEAR(B1381),MONTH(B1381),1))</f>
        <v/>
      </c>
      <c r="N1381" s="26" t="str">
        <f aca="false">IF(L1381="","",L1381*M1381)</f>
        <v/>
      </c>
      <c r="P1381" s="26" t="str">
        <f aca="false">IF(L1381="","",N1381-L1381*O1381)</f>
        <v/>
      </c>
      <c r="T1381" s="22" t="str">
        <f aca="false">IF(R1381="","",IF(R1381&lt;=Q1381,"Yes","No"))</f>
        <v/>
      </c>
      <c r="U1381" s="22" t="str">
        <f aca="false">IF(B1381="","",TEXT(YEAR(B1381),"0"))</f>
        <v/>
      </c>
    </row>
    <row r="1382" customFormat="false" ht="15" hidden="false" customHeight="false" outlineLevel="0" collapsed="false">
      <c r="B1382" s="28"/>
      <c r="C1382" s="24" t="str">
        <f aca="false">IF(B1382="","",DATE(YEAR(B1382),MONTH(B1382),1))</f>
        <v/>
      </c>
      <c r="N1382" s="26" t="str">
        <f aca="false">IF(L1382="","",L1382*M1382)</f>
        <v/>
      </c>
      <c r="P1382" s="26" t="str">
        <f aca="false">IF(L1382="","",N1382-L1382*O1382)</f>
        <v/>
      </c>
      <c r="T1382" s="22" t="str">
        <f aca="false">IF(R1382="","",IF(R1382&lt;=Q1382,"Yes","No"))</f>
        <v/>
      </c>
      <c r="U1382" s="22" t="str">
        <f aca="false">IF(B1382="","",TEXT(YEAR(B1382),"0"))</f>
        <v/>
      </c>
    </row>
    <row r="1383" customFormat="false" ht="15" hidden="false" customHeight="false" outlineLevel="0" collapsed="false">
      <c r="B1383" s="28"/>
      <c r="C1383" s="24" t="str">
        <f aca="false">IF(B1383="","",DATE(YEAR(B1383),MONTH(B1383),1))</f>
        <v/>
      </c>
      <c r="N1383" s="26" t="str">
        <f aca="false">IF(L1383="","",L1383*M1383)</f>
        <v/>
      </c>
      <c r="P1383" s="26" t="str">
        <f aca="false">IF(L1383="","",N1383-L1383*O1383)</f>
        <v/>
      </c>
      <c r="T1383" s="22" t="str">
        <f aca="false">IF(R1383="","",IF(R1383&lt;=Q1383,"Yes","No"))</f>
        <v/>
      </c>
      <c r="U1383" s="22" t="str">
        <f aca="false">IF(B1383="","",TEXT(YEAR(B1383),"0"))</f>
        <v/>
      </c>
    </row>
    <row r="1384" customFormat="false" ht="15" hidden="false" customHeight="false" outlineLevel="0" collapsed="false">
      <c r="B1384" s="28"/>
      <c r="C1384" s="24" t="str">
        <f aca="false">IF(B1384="","",DATE(YEAR(B1384),MONTH(B1384),1))</f>
        <v/>
      </c>
      <c r="N1384" s="26" t="str">
        <f aca="false">IF(L1384="","",L1384*M1384)</f>
        <v/>
      </c>
      <c r="P1384" s="26" t="str">
        <f aca="false">IF(L1384="","",N1384-L1384*O1384)</f>
        <v/>
      </c>
      <c r="T1384" s="22" t="str">
        <f aca="false">IF(R1384="","",IF(R1384&lt;=Q1384,"Yes","No"))</f>
        <v/>
      </c>
      <c r="U1384" s="22" t="str">
        <f aca="false">IF(B1384="","",TEXT(YEAR(B1384),"0"))</f>
        <v/>
      </c>
    </row>
    <row r="1385" customFormat="false" ht="15" hidden="false" customHeight="false" outlineLevel="0" collapsed="false">
      <c r="B1385" s="28"/>
      <c r="C1385" s="24" t="str">
        <f aca="false">IF(B1385="","",DATE(YEAR(B1385),MONTH(B1385),1))</f>
        <v/>
      </c>
      <c r="N1385" s="26" t="str">
        <f aca="false">IF(L1385="","",L1385*M1385)</f>
        <v/>
      </c>
      <c r="P1385" s="26" t="str">
        <f aca="false">IF(L1385="","",N1385-L1385*O1385)</f>
        <v/>
      </c>
      <c r="T1385" s="22" t="str">
        <f aca="false">IF(R1385="","",IF(R1385&lt;=Q1385,"Yes","No"))</f>
        <v/>
      </c>
      <c r="U1385" s="22" t="str">
        <f aca="false">IF(B1385="","",TEXT(YEAR(B1385),"0"))</f>
        <v/>
      </c>
    </row>
    <row r="1386" customFormat="false" ht="15" hidden="false" customHeight="false" outlineLevel="0" collapsed="false">
      <c r="B1386" s="28"/>
      <c r="C1386" s="24" t="str">
        <f aca="false">IF(B1386="","",DATE(YEAR(B1386),MONTH(B1386),1))</f>
        <v/>
      </c>
      <c r="N1386" s="26" t="str">
        <f aca="false">IF(L1386="","",L1386*M1386)</f>
        <v/>
      </c>
      <c r="P1386" s="26" t="str">
        <f aca="false">IF(L1386="","",N1386-L1386*O1386)</f>
        <v/>
      </c>
      <c r="T1386" s="22" t="str">
        <f aca="false">IF(R1386="","",IF(R1386&lt;=Q1386,"Yes","No"))</f>
        <v/>
      </c>
      <c r="U1386" s="22" t="str">
        <f aca="false">IF(B1386="","",TEXT(YEAR(B1386),"0"))</f>
        <v/>
      </c>
    </row>
    <row r="1387" customFormat="false" ht="15" hidden="false" customHeight="false" outlineLevel="0" collapsed="false">
      <c r="B1387" s="28"/>
      <c r="C1387" s="24" t="str">
        <f aca="false">IF(B1387="","",DATE(YEAR(B1387),MONTH(B1387),1))</f>
        <v/>
      </c>
      <c r="N1387" s="26" t="str">
        <f aca="false">IF(L1387="","",L1387*M1387)</f>
        <v/>
      </c>
      <c r="P1387" s="26" t="str">
        <f aca="false">IF(L1387="","",N1387-L1387*O1387)</f>
        <v/>
      </c>
      <c r="T1387" s="22" t="str">
        <f aca="false">IF(R1387="","",IF(R1387&lt;=Q1387,"Yes","No"))</f>
        <v/>
      </c>
      <c r="U1387" s="22" t="str">
        <f aca="false">IF(B1387="","",TEXT(YEAR(B1387),"0"))</f>
        <v/>
      </c>
    </row>
    <row r="1388" customFormat="false" ht="15" hidden="false" customHeight="false" outlineLevel="0" collapsed="false">
      <c r="B1388" s="28"/>
      <c r="C1388" s="24" t="str">
        <f aca="false">IF(B1388="","",DATE(YEAR(B1388),MONTH(B1388),1))</f>
        <v/>
      </c>
      <c r="N1388" s="26" t="str">
        <f aca="false">IF(L1388="","",L1388*M1388)</f>
        <v/>
      </c>
      <c r="P1388" s="26" t="str">
        <f aca="false">IF(L1388="","",N1388-L1388*O1388)</f>
        <v/>
      </c>
      <c r="T1388" s="22" t="str">
        <f aca="false">IF(R1388="","",IF(R1388&lt;=Q1388,"Yes","No"))</f>
        <v/>
      </c>
      <c r="U1388" s="22" t="str">
        <f aca="false">IF(B1388="","",TEXT(YEAR(B1388),"0"))</f>
        <v/>
      </c>
    </row>
    <row r="1389" customFormat="false" ht="15" hidden="false" customHeight="false" outlineLevel="0" collapsed="false">
      <c r="B1389" s="28"/>
      <c r="C1389" s="24" t="str">
        <f aca="false">IF(B1389="","",DATE(YEAR(B1389),MONTH(B1389),1))</f>
        <v/>
      </c>
      <c r="N1389" s="26" t="str">
        <f aca="false">IF(L1389="","",L1389*M1389)</f>
        <v/>
      </c>
      <c r="P1389" s="26" t="str">
        <f aca="false">IF(L1389="","",N1389-L1389*O1389)</f>
        <v/>
      </c>
      <c r="T1389" s="22" t="str">
        <f aca="false">IF(R1389="","",IF(R1389&lt;=Q1389,"Yes","No"))</f>
        <v/>
      </c>
      <c r="U1389" s="22" t="str">
        <f aca="false">IF(B1389="","",TEXT(YEAR(B1389),"0"))</f>
        <v/>
      </c>
    </row>
    <row r="1390" customFormat="false" ht="15" hidden="false" customHeight="false" outlineLevel="0" collapsed="false">
      <c r="B1390" s="28"/>
      <c r="C1390" s="24" t="str">
        <f aca="false">IF(B1390="","",DATE(YEAR(B1390),MONTH(B1390),1))</f>
        <v/>
      </c>
      <c r="N1390" s="26" t="str">
        <f aca="false">IF(L1390="","",L1390*M1390)</f>
        <v/>
      </c>
      <c r="P1390" s="26" t="str">
        <f aca="false">IF(L1390="","",N1390-L1390*O1390)</f>
        <v/>
      </c>
      <c r="T1390" s="22" t="str">
        <f aca="false">IF(R1390="","",IF(R1390&lt;=Q1390,"Yes","No"))</f>
        <v/>
      </c>
      <c r="U1390" s="22" t="str">
        <f aca="false">IF(B1390="","",TEXT(YEAR(B1390),"0"))</f>
        <v/>
      </c>
    </row>
    <row r="1391" customFormat="false" ht="15" hidden="false" customHeight="false" outlineLevel="0" collapsed="false">
      <c r="B1391" s="28"/>
      <c r="C1391" s="24" t="str">
        <f aca="false">IF(B1391="","",DATE(YEAR(B1391),MONTH(B1391),1))</f>
        <v/>
      </c>
      <c r="N1391" s="26" t="str">
        <f aca="false">IF(L1391="","",L1391*M1391)</f>
        <v/>
      </c>
      <c r="P1391" s="26" t="str">
        <f aca="false">IF(L1391="","",N1391-L1391*O1391)</f>
        <v/>
      </c>
      <c r="T1391" s="22" t="str">
        <f aca="false">IF(R1391="","",IF(R1391&lt;=Q1391,"Yes","No"))</f>
        <v/>
      </c>
      <c r="U1391" s="22" t="str">
        <f aca="false">IF(B1391="","",TEXT(YEAR(B1391),"0"))</f>
        <v/>
      </c>
    </row>
    <row r="1392" customFormat="false" ht="15" hidden="false" customHeight="false" outlineLevel="0" collapsed="false">
      <c r="B1392" s="28"/>
      <c r="C1392" s="24" t="str">
        <f aca="false">IF(B1392="","",DATE(YEAR(B1392),MONTH(B1392),1))</f>
        <v/>
      </c>
      <c r="N1392" s="26" t="str">
        <f aca="false">IF(L1392="","",L1392*M1392)</f>
        <v/>
      </c>
      <c r="P1392" s="26" t="str">
        <f aca="false">IF(L1392="","",N1392-L1392*O1392)</f>
        <v/>
      </c>
      <c r="T1392" s="22" t="str">
        <f aca="false">IF(R1392="","",IF(R1392&lt;=Q1392,"Yes","No"))</f>
        <v/>
      </c>
      <c r="U1392" s="22" t="str">
        <f aca="false">IF(B1392="","",TEXT(YEAR(B1392),"0"))</f>
        <v/>
      </c>
    </row>
    <row r="1393" customFormat="false" ht="15" hidden="false" customHeight="false" outlineLevel="0" collapsed="false">
      <c r="B1393" s="28"/>
      <c r="C1393" s="24" t="str">
        <f aca="false">IF(B1393="","",DATE(YEAR(B1393),MONTH(B1393),1))</f>
        <v/>
      </c>
      <c r="N1393" s="26" t="str">
        <f aca="false">IF(L1393="","",L1393*M1393)</f>
        <v/>
      </c>
      <c r="P1393" s="26" t="str">
        <f aca="false">IF(L1393="","",N1393-L1393*O1393)</f>
        <v/>
      </c>
      <c r="T1393" s="22" t="str">
        <f aca="false">IF(R1393="","",IF(R1393&lt;=Q1393,"Yes","No"))</f>
        <v/>
      </c>
      <c r="U1393" s="22" t="str">
        <f aca="false">IF(B1393="","",TEXT(YEAR(B1393),"0"))</f>
        <v/>
      </c>
    </row>
    <row r="1394" customFormat="false" ht="15" hidden="false" customHeight="false" outlineLevel="0" collapsed="false">
      <c r="B1394" s="28"/>
      <c r="C1394" s="24" t="str">
        <f aca="false">IF(B1394="","",DATE(YEAR(B1394),MONTH(B1394),1))</f>
        <v/>
      </c>
      <c r="N1394" s="26" t="str">
        <f aca="false">IF(L1394="","",L1394*M1394)</f>
        <v/>
      </c>
      <c r="P1394" s="26" t="str">
        <f aca="false">IF(L1394="","",N1394-L1394*O1394)</f>
        <v/>
      </c>
      <c r="T1394" s="22" t="str">
        <f aca="false">IF(R1394="","",IF(R1394&lt;=Q1394,"Yes","No"))</f>
        <v/>
      </c>
      <c r="U1394" s="22" t="str">
        <f aca="false">IF(B1394="","",TEXT(YEAR(B1394),"0"))</f>
        <v/>
      </c>
    </row>
    <row r="1395" customFormat="false" ht="15" hidden="false" customHeight="false" outlineLevel="0" collapsed="false">
      <c r="B1395" s="28"/>
      <c r="C1395" s="24" t="str">
        <f aca="false">IF(B1395="","",DATE(YEAR(B1395),MONTH(B1395),1))</f>
        <v/>
      </c>
      <c r="N1395" s="26" t="str">
        <f aca="false">IF(L1395="","",L1395*M1395)</f>
        <v/>
      </c>
      <c r="P1395" s="26" t="str">
        <f aca="false">IF(L1395="","",N1395-L1395*O1395)</f>
        <v/>
      </c>
      <c r="T1395" s="22" t="str">
        <f aca="false">IF(R1395="","",IF(R1395&lt;=Q1395,"Yes","No"))</f>
        <v/>
      </c>
      <c r="U1395" s="22" t="str">
        <f aca="false">IF(B1395="","",TEXT(YEAR(B1395),"0"))</f>
        <v/>
      </c>
    </row>
    <row r="1396" customFormat="false" ht="15" hidden="false" customHeight="false" outlineLevel="0" collapsed="false">
      <c r="B1396" s="28"/>
      <c r="C1396" s="24" t="str">
        <f aca="false">IF(B1396="","",DATE(YEAR(B1396),MONTH(B1396),1))</f>
        <v/>
      </c>
      <c r="N1396" s="26" t="str">
        <f aca="false">IF(L1396="","",L1396*M1396)</f>
        <v/>
      </c>
      <c r="P1396" s="26" t="str">
        <f aca="false">IF(L1396="","",N1396-L1396*O1396)</f>
        <v/>
      </c>
      <c r="T1396" s="22" t="str">
        <f aca="false">IF(R1396="","",IF(R1396&lt;=Q1396,"Yes","No"))</f>
        <v/>
      </c>
      <c r="U1396" s="22" t="str">
        <f aca="false">IF(B1396="","",TEXT(YEAR(B1396),"0"))</f>
        <v/>
      </c>
    </row>
    <row r="1397" customFormat="false" ht="15" hidden="false" customHeight="false" outlineLevel="0" collapsed="false">
      <c r="B1397" s="28"/>
      <c r="C1397" s="24" t="str">
        <f aca="false">IF(B1397="","",DATE(YEAR(B1397),MONTH(B1397),1))</f>
        <v/>
      </c>
      <c r="N1397" s="26" t="str">
        <f aca="false">IF(L1397="","",L1397*M1397)</f>
        <v/>
      </c>
      <c r="P1397" s="26" t="str">
        <f aca="false">IF(L1397="","",N1397-L1397*O1397)</f>
        <v/>
      </c>
      <c r="T1397" s="22" t="str">
        <f aca="false">IF(R1397="","",IF(R1397&lt;=Q1397,"Yes","No"))</f>
        <v/>
      </c>
      <c r="U1397" s="22" t="str">
        <f aca="false">IF(B1397="","",TEXT(YEAR(B1397),"0"))</f>
        <v/>
      </c>
    </row>
    <row r="1398" customFormat="false" ht="15" hidden="false" customHeight="false" outlineLevel="0" collapsed="false">
      <c r="B1398" s="28"/>
      <c r="C1398" s="24" t="str">
        <f aca="false">IF(B1398="","",DATE(YEAR(B1398),MONTH(B1398),1))</f>
        <v/>
      </c>
      <c r="N1398" s="26" t="str">
        <f aca="false">IF(L1398="","",L1398*M1398)</f>
        <v/>
      </c>
      <c r="P1398" s="26" t="str">
        <f aca="false">IF(L1398="","",N1398-L1398*O1398)</f>
        <v/>
      </c>
      <c r="T1398" s="22" t="str">
        <f aca="false">IF(R1398="","",IF(R1398&lt;=Q1398,"Yes","No"))</f>
        <v/>
      </c>
      <c r="U1398" s="22" t="str">
        <f aca="false">IF(B1398="","",TEXT(YEAR(B1398),"0"))</f>
        <v/>
      </c>
    </row>
    <row r="1399" customFormat="false" ht="15" hidden="false" customHeight="false" outlineLevel="0" collapsed="false">
      <c r="B1399" s="28"/>
      <c r="C1399" s="24" t="str">
        <f aca="false">IF(B1399="","",DATE(YEAR(B1399),MONTH(B1399),1))</f>
        <v/>
      </c>
      <c r="N1399" s="26" t="str">
        <f aca="false">IF(L1399="","",L1399*M1399)</f>
        <v/>
      </c>
      <c r="P1399" s="26" t="str">
        <f aca="false">IF(L1399="","",N1399-L1399*O1399)</f>
        <v/>
      </c>
      <c r="T1399" s="22" t="str">
        <f aca="false">IF(R1399="","",IF(R1399&lt;=Q1399,"Yes","No"))</f>
        <v/>
      </c>
      <c r="U1399" s="22" t="str">
        <f aca="false">IF(B1399="","",TEXT(YEAR(B1399),"0"))</f>
        <v/>
      </c>
    </row>
    <row r="1400" customFormat="false" ht="15" hidden="false" customHeight="false" outlineLevel="0" collapsed="false">
      <c r="B1400" s="28"/>
      <c r="C1400" s="24" t="str">
        <f aca="false">IF(B1400="","",DATE(YEAR(B1400),MONTH(B1400),1))</f>
        <v/>
      </c>
      <c r="N1400" s="26" t="str">
        <f aca="false">IF(L1400="","",L1400*M1400)</f>
        <v/>
      </c>
      <c r="P1400" s="26" t="str">
        <f aca="false">IF(L1400="","",N1400-L1400*O1400)</f>
        <v/>
      </c>
      <c r="T1400" s="22" t="str">
        <f aca="false">IF(R1400="","",IF(R1400&lt;=Q1400,"Yes","No"))</f>
        <v/>
      </c>
      <c r="U1400" s="22" t="str">
        <f aca="false">IF(B1400="","",TEXT(YEAR(B1400),"0"))</f>
        <v/>
      </c>
    </row>
    <row r="1401" customFormat="false" ht="15" hidden="false" customHeight="false" outlineLevel="0" collapsed="false">
      <c r="B1401" s="28"/>
      <c r="C1401" s="24" t="str">
        <f aca="false">IF(B1401="","",DATE(YEAR(B1401),MONTH(B1401),1))</f>
        <v/>
      </c>
      <c r="N1401" s="26" t="str">
        <f aca="false">IF(L1401="","",L1401*M1401)</f>
        <v/>
      </c>
      <c r="P1401" s="26" t="str">
        <f aca="false">IF(L1401="","",N1401-L1401*O1401)</f>
        <v/>
      </c>
      <c r="T1401" s="22" t="str">
        <f aca="false">IF(R1401="","",IF(R1401&lt;=Q1401,"Yes","No"))</f>
        <v/>
      </c>
      <c r="U1401" s="22" t="str">
        <f aca="false">IF(B1401="","",TEXT(YEAR(B1401),"0"))</f>
        <v/>
      </c>
    </row>
    <row r="1402" customFormat="false" ht="15" hidden="false" customHeight="false" outlineLevel="0" collapsed="false">
      <c r="B1402" s="28"/>
      <c r="C1402" s="24" t="str">
        <f aca="false">IF(B1402="","",DATE(YEAR(B1402),MONTH(B1402),1))</f>
        <v/>
      </c>
      <c r="N1402" s="26" t="str">
        <f aca="false">IF(L1402="","",L1402*M1402)</f>
        <v/>
      </c>
      <c r="P1402" s="26" t="str">
        <f aca="false">IF(L1402="","",N1402-L1402*O1402)</f>
        <v/>
      </c>
      <c r="T1402" s="22" t="str">
        <f aca="false">IF(R1402="","",IF(R1402&lt;=Q1402,"Yes","No"))</f>
        <v/>
      </c>
      <c r="U1402" s="22" t="str">
        <f aca="false">IF(B1402="","",TEXT(YEAR(B1402),"0"))</f>
        <v/>
      </c>
    </row>
    <row r="1403" customFormat="false" ht="15" hidden="false" customHeight="false" outlineLevel="0" collapsed="false">
      <c r="B1403" s="28"/>
      <c r="C1403" s="24" t="str">
        <f aca="false">IF(B1403="","",DATE(YEAR(B1403),MONTH(B1403),1))</f>
        <v/>
      </c>
      <c r="N1403" s="26" t="str">
        <f aca="false">IF(L1403="","",L1403*M1403)</f>
        <v/>
      </c>
      <c r="P1403" s="26" t="str">
        <f aca="false">IF(L1403="","",N1403-L1403*O1403)</f>
        <v/>
      </c>
      <c r="T1403" s="22" t="str">
        <f aca="false">IF(R1403="","",IF(R1403&lt;=Q1403,"Yes","No"))</f>
        <v/>
      </c>
      <c r="U1403" s="22" t="str">
        <f aca="false">IF(B1403="","",TEXT(YEAR(B1403),"0"))</f>
        <v/>
      </c>
    </row>
    <row r="1404" customFormat="false" ht="15" hidden="false" customHeight="false" outlineLevel="0" collapsed="false">
      <c r="B1404" s="28"/>
      <c r="C1404" s="24" t="str">
        <f aca="false">IF(B1404="","",DATE(YEAR(B1404),MONTH(B1404),1))</f>
        <v/>
      </c>
      <c r="N1404" s="26" t="str">
        <f aca="false">IF(L1404="","",L1404*M1404)</f>
        <v/>
      </c>
      <c r="P1404" s="26" t="str">
        <f aca="false">IF(L1404="","",N1404-L1404*O1404)</f>
        <v/>
      </c>
      <c r="T1404" s="22" t="str">
        <f aca="false">IF(R1404="","",IF(R1404&lt;=Q1404,"Yes","No"))</f>
        <v/>
      </c>
      <c r="U1404" s="22" t="str">
        <f aca="false">IF(B1404="","",TEXT(YEAR(B1404),"0"))</f>
        <v/>
      </c>
    </row>
    <row r="1405" customFormat="false" ht="15" hidden="false" customHeight="false" outlineLevel="0" collapsed="false">
      <c r="B1405" s="28"/>
      <c r="C1405" s="24" t="str">
        <f aca="false">IF(B1405="","",DATE(YEAR(B1405),MONTH(B1405),1))</f>
        <v/>
      </c>
      <c r="N1405" s="26" t="str">
        <f aca="false">IF(L1405="","",L1405*M1405)</f>
        <v/>
      </c>
      <c r="P1405" s="26" t="str">
        <f aca="false">IF(L1405="","",N1405-L1405*O1405)</f>
        <v/>
      </c>
      <c r="T1405" s="22" t="str">
        <f aca="false">IF(R1405="","",IF(R1405&lt;=Q1405,"Yes","No"))</f>
        <v/>
      </c>
      <c r="U1405" s="22" t="str">
        <f aca="false">IF(B1405="","",TEXT(YEAR(B1405),"0"))</f>
        <v/>
      </c>
    </row>
    <row r="1406" customFormat="false" ht="15" hidden="false" customHeight="false" outlineLevel="0" collapsed="false">
      <c r="B1406" s="28"/>
      <c r="C1406" s="24" t="str">
        <f aca="false">IF(B1406="","",DATE(YEAR(B1406),MONTH(B1406),1))</f>
        <v/>
      </c>
      <c r="N1406" s="26" t="str">
        <f aca="false">IF(L1406="","",L1406*M1406)</f>
        <v/>
      </c>
      <c r="P1406" s="26" t="str">
        <f aca="false">IF(L1406="","",N1406-L1406*O1406)</f>
        <v/>
      </c>
      <c r="T1406" s="22" t="str">
        <f aca="false">IF(R1406="","",IF(R1406&lt;=Q1406,"Yes","No"))</f>
        <v/>
      </c>
      <c r="U1406" s="22" t="str">
        <f aca="false">IF(B1406="","",TEXT(YEAR(B1406),"0"))</f>
        <v/>
      </c>
    </row>
    <row r="1407" customFormat="false" ht="15" hidden="false" customHeight="false" outlineLevel="0" collapsed="false">
      <c r="B1407" s="28"/>
      <c r="C1407" s="24" t="str">
        <f aca="false">IF(B1407="","",DATE(YEAR(B1407),MONTH(B1407),1))</f>
        <v/>
      </c>
      <c r="N1407" s="26" t="str">
        <f aca="false">IF(L1407="","",L1407*M1407)</f>
        <v/>
      </c>
      <c r="P1407" s="26" t="str">
        <f aca="false">IF(L1407="","",N1407-L1407*O1407)</f>
        <v/>
      </c>
      <c r="T1407" s="22" t="str">
        <f aca="false">IF(R1407="","",IF(R1407&lt;=Q1407,"Yes","No"))</f>
        <v/>
      </c>
      <c r="U1407" s="22" t="str">
        <f aca="false">IF(B1407="","",TEXT(YEAR(B1407),"0"))</f>
        <v/>
      </c>
    </row>
    <row r="1408" customFormat="false" ht="15" hidden="false" customHeight="false" outlineLevel="0" collapsed="false">
      <c r="B1408" s="28"/>
      <c r="C1408" s="24" t="str">
        <f aca="false">IF(B1408="","",DATE(YEAR(B1408),MONTH(B1408),1))</f>
        <v/>
      </c>
      <c r="N1408" s="26" t="str">
        <f aca="false">IF(L1408="","",L1408*M1408)</f>
        <v/>
      </c>
      <c r="P1408" s="26" t="str">
        <f aca="false">IF(L1408="","",N1408-L1408*O1408)</f>
        <v/>
      </c>
      <c r="T1408" s="22" t="str">
        <f aca="false">IF(R1408="","",IF(R1408&lt;=Q1408,"Yes","No"))</f>
        <v/>
      </c>
      <c r="U1408" s="22" t="str">
        <f aca="false">IF(B1408="","",TEXT(YEAR(B1408),"0"))</f>
        <v/>
      </c>
    </row>
    <row r="1409" customFormat="false" ht="15" hidden="false" customHeight="false" outlineLevel="0" collapsed="false">
      <c r="B1409" s="28"/>
      <c r="C1409" s="24" t="str">
        <f aca="false">IF(B1409="","",DATE(YEAR(B1409),MONTH(B1409),1))</f>
        <v/>
      </c>
      <c r="N1409" s="26" t="str">
        <f aca="false">IF(L1409="","",L1409*M1409)</f>
        <v/>
      </c>
      <c r="P1409" s="26" t="str">
        <f aca="false">IF(L1409="","",N1409-L1409*O1409)</f>
        <v/>
      </c>
      <c r="T1409" s="22" t="str">
        <f aca="false">IF(R1409="","",IF(R1409&lt;=Q1409,"Yes","No"))</f>
        <v/>
      </c>
      <c r="U1409" s="22" t="str">
        <f aca="false">IF(B1409="","",TEXT(YEAR(B1409),"0"))</f>
        <v/>
      </c>
    </row>
    <row r="1410" customFormat="false" ht="15" hidden="false" customHeight="false" outlineLevel="0" collapsed="false">
      <c r="B1410" s="28"/>
      <c r="C1410" s="24" t="str">
        <f aca="false">IF(B1410="","",DATE(YEAR(B1410),MONTH(B1410),1))</f>
        <v/>
      </c>
      <c r="N1410" s="26" t="str">
        <f aca="false">IF(L1410="","",L1410*M1410)</f>
        <v/>
      </c>
      <c r="P1410" s="26" t="str">
        <f aca="false">IF(L1410="","",N1410-L1410*O1410)</f>
        <v/>
      </c>
      <c r="T1410" s="22" t="str">
        <f aca="false">IF(R1410="","",IF(R1410&lt;=Q1410,"Yes","No"))</f>
        <v/>
      </c>
      <c r="U1410" s="22" t="str">
        <f aca="false">IF(B1410="","",TEXT(YEAR(B1410),"0"))</f>
        <v/>
      </c>
    </row>
    <row r="1411" customFormat="false" ht="15" hidden="false" customHeight="false" outlineLevel="0" collapsed="false">
      <c r="B1411" s="28"/>
      <c r="C1411" s="24" t="str">
        <f aca="false">IF(B1411="","",DATE(YEAR(B1411),MONTH(B1411),1))</f>
        <v/>
      </c>
      <c r="N1411" s="26" t="str">
        <f aca="false">IF(L1411="","",L1411*M1411)</f>
        <v/>
      </c>
      <c r="P1411" s="26" t="str">
        <f aca="false">IF(L1411="","",N1411-L1411*O1411)</f>
        <v/>
      </c>
      <c r="T1411" s="22" t="str">
        <f aca="false">IF(R1411="","",IF(R1411&lt;=Q1411,"Yes","No"))</f>
        <v/>
      </c>
      <c r="U1411" s="22" t="str">
        <f aca="false">IF(B1411="","",TEXT(YEAR(B1411),"0"))</f>
        <v/>
      </c>
    </row>
    <row r="1412" customFormat="false" ht="15" hidden="false" customHeight="false" outlineLevel="0" collapsed="false">
      <c r="B1412" s="28"/>
      <c r="C1412" s="24" t="str">
        <f aca="false">IF(B1412="","",DATE(YEAR(B1412),MONTH(B1412),1))</f>
        <v/>
      </c>
      <c r="N1412" s="26" t="str">
        <f aca="false">IF(L1412="","",L1412*M1412)</f>
        <v/>
      </c>
      <c r="P1412" s="26" t="str">
        <f aca="false">IF(L1412="","",N1412-L1412*O1412)</f>
        <v/>
      </c>
      <c r="T1412" s="22" t="str">
        <f aca="false">IF(R1412="","",IF(R1412&lt;=Q1412,"Yes","No"))</f>
        <v/>
      </c>
      <c r="U1412" s="22" t="str">
        <f aca="false">IF(B1412="","",TEXT(YEAR(B1412),"0"))</f>
        <v/>
      </c>
    </row>
    <row r="1413" customFormat="false" ht="15" hidden="false" customHeight="false" outlineLevel="0" collapsed="false">
      <c r="B1413" s="28"/>
      <c r="C1413" s="24" t="str">
        <f aca="false">IF(B1413="","",DATE(YEAR(B1413),MONTH(B1413),1))</f>
        <v/>
      </c>
      <c r="N1413" s="26" t="str">
        <f aca="false">IF(L1413="","",L1413*M1413)</f>
        <v/>
      </c>
      <c r="P1413" s="26" t="str">
        <f aca="false">IF(L1413="","",N1413-L1413*O1413)</f>
        <v/>
      </c>
      <c r="T1413" s="22" t="str">
        <f aca="false">IF(R1413="","",IF(R1413&lt;=Q1413,"Yes","No"))</f>
        <v/>
      </c>
      <c r="U1413" s="22" t="str">
        <f aca="false">IF(B1413="","",TEXT(YEAR(B1413),"0"))</f>
        <v/>
      </c>
    </row>
    <row r="1414" customFormat="false" ht="15" hidden="false" customHeight="false" outlineLevel="0" collapsed="false">
      <c r="B1414" s="28"/>
      <c r="C1414" s="24" t="str">
        <f aca="false">IF(B1414="","",DATE(YEAR(B1414),MONTH(B1414),1))</f>
        <v/>
      </c>
      <c r="N1414" s="26" t="str">
        <f aca="false">IF(L1414="","",L1414*M1414)</f>
        <v/>
      </c>
      <c r="P1414" s="26" t="str">
        <f aca="false">IF(L1414="","",N1414-L1414*O1414)</f>
        <v/>
      </c>
      <c r="T1414" s="22" t="str">
        <f aca="false">IF(R1414="","",IF(R1414&lt;=Q1414,"Yes","No"))</f>
        <v/>
      </c>
      <c r="U1414" s="22" t="str">
        <f aca="false">IF(B1414="","",TEXT(YEAR(B1414),"0"))</f>
        <v/>
      </c>
    </row>
    <row r="1415" customFormat="false" ht="15" hidden="false" customHeight="false" outlineLevel="0" collapsed="false">
      <c r="B1415" s="28"/>
      <c r="C1415" s="24" t="str">
        <f aca="false">IF(B1415="","",DATE(YEAR(B1415),MONTH(B1415),1))</f>
        <v/>
      </c>
      <c r="N1415" s="26" t="str">
        <f aca="false">IF(L1415="","",L1415*M1415)</f>
        <v/>
      </c>
      <c r="P1415" s="26" t="str">
        <f aca="false">IF(L1415="","",N1415-L1415*O1415)</f>
        <v/>
      </c>
      <c r="T1415" s="22" t="str">
        <f aca="false">IF(R1415="","",IF(R1415&lt;=Q1415,"Yes","No"))</f>
        <v/>
      </c>
      <c r="U1415" s="22" t="str">
        <f aca="false">IF(B1415="","",TEXT(YEAR(B1415),"0"))</f>
        <v/>
      </c>
    </row>
    <row r="1416" customFormat="false" ht="15" hidden="false" customHeight="false" outlineLevel="0" collapsed="false">
      <c r="B1416" s="28"/>
      <c r="C1416" s="24" t="str">
        <f aca="false">IF(B1416="","",DATE(YEAR(B1416),MONTH(B1416),1))</f>
        <v/>
      </c>
      <c r="N1416" s="26" t="str">
        <f aca="false">IF(L1416="","",L1416*M1416)</f>
        <v/>
      </c>
      <c r="P1416" s="26" t="str">
        <f aca="false">IF(L1416="","",N1416-L1416*O1416)</f>
        <v/>
      </c>
      <c r="T1416" s="22" t="str">
        <f aca="false">IF(R1416="","",IF(R1416&lt;=Q1416,"Yes","No"))</f>
        <v/>
      </c>
      <c r="U1416" s="22" t="str">
        <f aca="false">IF(B1416="","",TEXT(YEAR(B1416),"0"))</f>
        <v/>
      </c>
    </row>
    <row r="1417" customFormat="false" ht="15" hidden="false" customHeight="false" outlineLevel="0" collapsed="false">
      <c r="B1417" s="28"/>
      <c r="C1417" s="24" t="str">
        <f aca="false">IF(B1417="","",DATE(YEAR(B1417),MONTH(B1417),1))</f>
        <v/>
      </c>
      <c r="N1417" s="26" t="str">
        <f aca="false">IF(L1417="","",L1417*M1417)</f>
        <v/>
      </c>
      <c r="P1417" s="26" t="str">
        <f aca="false">IF(L1417="","",N1417-L1417*O1417)</f>
        <v/>
      </c>
      <c r="T1417" s="22" t="str">
        <f aca="false">IF(R1417="","",IF(R1417&lt;=Q1417,"Yes","No"))</f>
        <v/>
      </c>
      <c r="U1417" s="22" t="str">
        <f aca="false">IF(B1417="","",TEXT(YEAR(B1417),"0"))</f>
        <v/>
      </c>
    </row>
    <row r="1418" customFormat="false" ht="15" hidden="false" customHeight="false" outlineLevel="0" collapsed="false">
      <c r="B1418" s="28"/>
      <c r="C1418" s="24" t="str">
        <f aca="false">IF(B1418="","",DATE(YEAR(B1418),MONTH(B1418),1))</f>
        <v/>
      </c>
      <c r="N1418" s="26" t="str">
        <f aca="false">IF(L1418="","",L1418*M1418)</f>
        <v/>
      </c>
      <c r="P1418" s="26" t="str">
        <f aca="false">IF(L1418="","",N1418-L1418*O1418)</f>
        <v/>
      </c>
      <c r="T1418" s="22" t="str">
        <f aca="false">IF(R1418="","",IF(R1418&lt;=Q1418,"Yes","No"))</f>
        <v/>
      </c>
      <c r="U1418" s="22" t="str">
        <f aca="false">IF(B1418="","",TEXT(YEAR(B1418),"0"))</f>
        <v/>
      </c>
    </row>
    <row r="1419" customFormat="false" ht="15" hidden="false" customHeight="false" outlineLevel="0" collapsed="false">
      <c r="B1419" s="28"/>
      <c r="C1419" s="24" t="str">
        <f aca="false">IF(B1419="","",DATE(YEAR(B1419),MONTH(B1419),1))</f>
        <v/>
      </c>
      <c r="N1419" s="26" t="str">
        <f aca="false">IF(L1419="","",L1419*M1419)</f>
        <v/>
      </c>
      <c r="P1419" s="26" t="str">
        <f aca="false">IF(L1419="","",N1419-L1419*O1419)</f>
        <v/>
      </c>
      <c r="T1419" s="22" t="str">
        <f aca="false">IF(R1419="","",IF(R1419&lt;=Q1419,"Yes","No"))</f>
        <v/>
      </c>
      <c r="U1419" s="22" t="str">
        <f aca="false">IF(B1419="","",TEXT(YEAR(B1419),"0"))</f>
        <v/>
      </c>
    </row>
    <row r="1420" customFormat="false" ht="15" hidden="false" customHeight="false" outlineLevel="0" collapsed="false">
      <c r="B1420" s="28"/>
      <c r="C1420" s="24" t="str">
        <f aca="false">IF(B1420="","",DATE(YEAR(B1420),MONTH(B1420),1))</f>
        <v/>
      </c>
      <c r="N1420" s="26" t="str">
        <f aca="false">IF(L1420="","",L1420*M1420)</f>
        <v/>
      </c>
      <c r="P1420" s="26" t="str">
        <f aca="false">IF(L1420="","",N1420-L1420*O1420)</f>
        <v/>
      </c>
      <c r="T1420" s="22" t="str">
        <f aca="false">IF(R1420="","",IF(R1420&lt;=Q1420,"Yes","No"))</f>
        <v/>
      </c>
      <c r="U1420" s="22" t="str">
        <f aca="false">IF(B1420="","",TEXT(YEAR(B1420),"0"))</f>
        <v/>
      </c>
    </row>
    <row r="1421" customFormat="false" ht="15" hidden="false" customHeight="false" outlineLevel="0" collapsed="false">
      <c r="B1421" s="28"/>
      <c r="C1421" s="24" t="str">
        <f aca="false">IF(B1421="","",DATE(YEAR(B1421),MONTH(B1421),1))</f>
        <v/>
      </c>
      <c r="N1421" s="26" t="str">
        <f aca="false">IF(L1421="","",L1421*M1421)</f>
        <v/>
      </c>
      <c r="P1421" s="26" t="str">
        <f aca="false">IF(L1421="","",N1421-L1421*O1421)</f>
        <v/>
      </c>
      <c r="T1421" s="22" t="str">
        <f aca="false">IF(R1421="","",IF(R1421&lt;=Q1421,"Yes","No"))</f>
        <v/>
      </c>
      <c r="U1421" s="22" t="str">
        <f aca="false">IF(B1421="","",TEXT(YEAR(B1421),"0"))</f>
        <v/>
      </c>
    </row>
    <row r="1422" customFormat="false" ht="15" hidden="false" customHeight="false" outlineLevel="0" collapsed="false">
      <c r="B1422" s="28"/>
      <c r="C1422" s="24" t="str">
        <f aca="false">IF(B1422="","",DATE(YEAR(B1422),MONTH(B1422),1))</f>
        <v/>
      </c>
      <c r="N1422" s="26" t="str">
        <f aca="false">IF(L1422="","",L1422*M1422)</f>
        <v/>
      </c>
      <c r="P1422" s="26" t="str">
        <f aca="false">IF(L1422="","",N1422-L1422*O1422)</f>
        <v/>
      </c>
      <c r="T1422" s="22" t="str">
        <f aca="false">IF(R1422="","",IF(R1422&lt;=Q1422,"Yes","No"))</f>
        <v/>
      </c>
      <c r="U1422" s="22" t="str">
        <f aca="false">IF(B1422="","",TEXT(YEAR(B1422),"0"))</f>
        <v/>
      </c>
    </row>
    <row r="1423" customFormat="false" ht="15" hidden="false" customHeight="false" outlineLevel="0" collapsed="false">
      <c r="B1423" s="28"/>
      <c r="C1423" s="24" t="str">
        <f aca="false">IF(B1423="","",DATE(YEAR(B1423),MONTH(B1423),1))</f>
        <v/>
      </c>
      <c r="N1423" s="26" t="str">
        <f aca="false">IF(L1423="","",L1423*M1423)</f>
        <v/>
      </c>
      <c r="P1423" s="26" t="str">
        <f aca="false">IF(L1423="","",N1423-L1423*O1423)</f>
        <v/>
      </c>
      <c r="T1423" s="22" t="str">
        <f aca="false">IF(R1423="","",IF(R1423&lt;=Q1423,"Yes","No"))</f>
        <v/>
      </c>
      <c r="U1423" s="22" t="str">
        <f aca="false">IF(B1423="","",TEXT(YEAR(B1423),"0"))</f>
        <v/>
      </c>
    </row>
    <row r="1424" customFormat="false" ht="15" hidden="false" customHeight="false" outlineLevel="0" collapsed="false">
      <c r="B1424" s="28"/>
      <c r="C1424" s="24" t="str">
        <f aca="false">IF(B1424="","",DATE(YEAR(B1424),MONTH(B1424),1))</f>
        <v/>
      </c>
      <c r="N1424" s="26" t="str">
        <f aca="false">IF(L1424="","",L1424*M1424)</f>
        <v/>
      </c>
      <c r="P1424" s="26" t="str">
        <f aca="false">IF(L1424="","",N1424-L1424*O1424)</f>
        <v/>
      </c>
      <c r="T1424" s="22" t="str">
        <f aca="false">IF(R1424="","",IF(R1424&lt;=Q1424,"Yes","No"))</f>
        <v/>
      </c>
      <c r="U1424" s="22" t="str">
        <f aca="false">IF(B1424="","",TEXT(YEAR(B1424),"0"))</f>
        <v/>
      </c>
    </row>
    <row r="1425" customFormat="false" ht="15" hidden="false" customHeight="false" outlineLevel="0" collapsed="false">
      <c r="B1425" s="28"/>
      <c r="C1425" s="24" t="str">
        <f aca="false">IF(B1425="","",DATE(YEAR(B1425),MONTH(B1425),1))</f>
        <v/>
      </c>
      <c r="N1425" s="26" t="str">
        <f aca="false">IF(L1425="","",L1425*M1425)</f>
        <v/>
      </c>
      <c r="P1425" s="26" t="str">
        <f aca="false">IF(L1425="","",N1425-L1425*O1425)</f>
        <v/>
      </c>
      <c r="T1425" s="22" t="str">
        <f aca="false">IF(R1425="","",IF(R1425&lt;=Q1425,"Yes","No"))</f>
        <v/>
      </c>
      <c r="U1425" s="22" t="str">
        <f aca="false">IF(B1425="","",TEXT(YEAR(B1425),"0"))</f>
        <v/>
      </c>
    </row>
    <row r="1426" customFormat="false" ht="15" hidden="false" customHeight="false" outlineLevel="0" collapsed="false">
      <c r="B1426" s="28"/>
      <c r="C1426" s="24" t="str">
        <f aca="false">IF(B1426="","",DATE(YEAR(B1426),MONTH(B1426),1))</f>
        <v/>
      </c>
      <c r="N1426" s="26" t="str">
        <f aca="false">IF(L1426="","",L1426*M1426)</f>
        <v/>
      </c>
      <c r="P1426" s="26" t="str">
        <f aca="false">IF(L1426="","",N1426-L1426*O1426)</f>
        <v/>
      </c>
      <c r="T1426" s="22" t="str">
        <f aca="false">IF(R1426="","",IF(R1426&lt;=Q1426,"Yes","No"))</f>
        <v/>
      </c>
      <c r="U1426" s="22" t="str">
        <f aca="false">IF(B1426="","",TEXT(YEAR(B1426),"0"))</f>
        <v/>
      </c>
    </row>
    <row r="1427" customFormat="false" ht="15" hidden="false" customHeight="false" outlineLevel="0" collapsed="false">
      <c r="B1427" s="28"/>
      <c r="C1427" s="24" t="str">
        <f aca="false">IF(B1427="","",DATE(YEAR(B1427),MONTH(B1427),1))</f>
        <v/>
      </c>
      <c r="N1427" s="26" t="str">
        <f aca="false">IF(L1427="","",L1427*M1427)</f>
        <v/>
      </c>
      <c r="P1427" s="26" t="str">
        <f aca="false">IF(L1427="","",N1427-L1427*O1427)</f>
        <v/>
      </c>
      <c r="T1427" s="22" t="str">
        <f aca="false">IF(R1427="","",IF(R1427&lt;=Q1427,"Yes","No"))</f>
        <v/>
      </c>
      <c r="U1427" s="22" t="str">
        <f aca="false">IF(B1427="","",TEXT(YEAR(B1427),"0"))</f>
        <v/>
      </c>
    </row>
    <row r="1428" customFormat="false" ht="15" hidden="false" customHeight="false" outlineLevel="0" collapsed="false">
      <c r="B1428" s="28"/>
      <c r="C1428" s="24" t="str">
        <f aca="false">IF(B1428="","",DATE(YEAR(B1428),MONTH(B1428),1))</f>
        <v/>
      </c>
      <c r="N1428" s="26" t="str">
        <f aca="false">IF(L1428="","",L1428*M1428)</f>
        <v/>
      </c>
      <c r="P1428" s="26" t="str">
        <f aca="false">IF(L1428="","",N1428-L1428*O1428)</f>
        <v/>
      </c>
      <c r="T1428" s="22" t="str">
        <f aca="false">IF(R1428="","",IF(R1428&lt;=Q1428,"Yes","No"))</f>
        <v/>
      </c>
      <c r="U1428" s="22" t="str">
        <f aca="false">IF(B1428="","",TEXT(YEAR(B1428),"0"))</f>
        <v/>
      </c>
    </row>
    <row r="1429" customFormat="false" ht="15" hidden="false" customHeight="false" outlineLevel="0" collapsed="false">
      <c r="B1429" s="28"/>
      <c r="C1429" s="24" t="str">
        <f aca="false">IF(B1429="","",DATE(YEAR(B1429),MONTH(B1429),1))</f>
        <v/>
      </c>
      <c r="N1429" s="26" t="str">
        <f aca="false">IF(L1429="","",L1429*M1429)</f>
        <v/>
      </c>
      <c r="P1429" s="26" t="str">
        <f aca="false">IF(L1429="","",N1429-L1429*O1429)</f>
        <v/>
      </c>
      <c r="T1429" s="22" t="str">
        <f aca="false">IF(R1429="","",IF(R1429&lt;=Q1429,"Yes","No"))</f>
        <v/>
      </c>
      <c r="U1429" s="22" t="str">
        <f aca="false">IF(B1429="","",TEXT(YEAR(B1429),"0"))</f>
        <v/>
      </c>
    </row>
    <row r="1430" customFormat="false" ht="15" hidden="false" customHeight="false" outlineLevel="0" collapsed="false">
      <c r="B1430" s="28"/>
      <c r="C1430" s="24" t="str">
        <f aca="false">IF(B1430="","",DATE(YEAR(B1430),MONTH(B1430),1))</f>
        <v/>
      </c>
      <c r="N1430" s="26" t="str">
        <f aca="false">IF(L1430="","",L1430*M1430)</f>
        <v/>
      </c>
      <c r="P1430" s="26" t="str">
        <f aca="false">IF(L1430="","",N1430-L1430*O1430)</f>
        <v/>
      </c>
      <c r="T1430" s="22" t="str">
        <f aca="false">IF(R1430="","",IF(R1430&lt;=Q1430,"Yes","No"))</f>
        <v/>
      </c>
      <c r="U1430" s="22" t="str">
        <f aca="false">IF(B1430="","",TEXT(YEAR(B1430),"0"))</f>
        <v/>
      </c>
    </row>
    <row r="1431" customFormat="false" ht="15" hidden="false" customHeight="false" outlineLevel="0" collapsed="false">
      <c r="B1431" s="28"/>
      <c r="C1431" s="24" t="str">
        <f aca="false">IF(B1431="","",DATE(YEAR(B1431),MONTH(B1431),1))</f>
        <v/>
      </c>
      <c r="N1431" s="26" t="str">
        <f aca="false">IF(L1431="","",L1431*M1431)</f>
        <v/>
      </c>
      <c r="P1431" s="26" t="str">
        <f aca="false">IF(L1431="","",N1431-L1431*O1431)</f>
        <v/>
      </c>
      <c r="T1431" s="22" t="str">
        <f aca="false">IF(R1431="","",IF(R1431&lt;=Q1431,"Yes","No"))</f>
        <v/>
      </c>
      <c r="U1431" s="22" t="str">
        <f aca="false">IF(B1431="","",TEXT(YEAR(B1431),"0"))</f>
        <v/>
      </c>
    </row>
    <row r="1432" customFormat="false" ht="15" hidden="false" customHeight="false" outlineLevel="0" collapsed="false">
      <c r="B1432" s="28"/>
      <c r="C1432" s="24" t="str">
        <f aca="false">IF(B1432="","",DATE(YEAR(B1432),MONTH(B1432),1))</f>
        <v/>
      </c>
      <c r="N1432" s="26" t="str">
        <f aca="false">IF(L1432="","",L1432*M1432)</f>
        <v/>
      </c>
      <c r="P1432" s="26" t="str">
        <f aca="false">IF(L1432="","",N1432-L1432*O1432)</f>
        <v/>
      </c>
      <c r="T1432" s="22" t="str">
        <f aca="false">IF(R1432="","",IF(R1432&lt;=Q1432,"Yes","No"))</f>
        <v/>
      </c>
      <c r="U1432" s="22" t="str">
        <f aca="false">IF(B1432="","",TEXT(YEAR(B1432),"0"))</f>
        <v/>
      </c>
    </row>
    <row r="1433" customFormat="false" ht="15" hidden="false" customHeight="false" outlineLevel="0" collapsed="false">
      <c r="B1433" s="28"/>
      <c r="C1433" s="24" t="str">
        <f aca="false">IF(B1433="","",DATE(YEAR(B1433),MONTH(B1433),1))</f>
        <v/>
      </c>
      <c r="N1433" s="26" t="str">
        <f aca="false">IF(L1433="","",L1433*M1433)</f>
        <v/>
      </c>
      <c r="P1433" s="26" t="str">
        <f aca="false">IF(L1433="","",N1433-L1433*O1433)</f>
        <v/>
      </c>
      <c r="T1433" s="22" t="str">
        <f aca="false">IF(R1433="","",IF(R1433&lt;=Q1433,"Yes","No"))</f>
        <v/>
      </c>
      <c r="U1433" s="22" t="str">
        <f aca="false">IF(B1433="","",TEXT(YEAR(B1433),"0"))</f>
        <v/>
      </c>
    </row>
    <row r="1434" customFormat="false" ht="15" hidden="false" customHeight="false" outlineLevel="0" collapsed="false">
      <c r="B1434" s="28"/>
      <c r="C1434" s="24" t="str">
        <f aca="false">IF(B1434="","",DATE(YEAR(B1434),MONTH(B1434),1))</f>
        <v/>
      </c>
      <c r="N1434" s="26" t="str">
        <f aca="false">IF(L1434="","",L1434*M1434)</f>
        <v/>
      </c>
      <c r="P1434" s="26" t="str">
        <f aca="false">IF(L1434="","",N1434-L1434*O1434)</f>
        <v/>
      </c>
      <c r="T1434" s="22" t="str">
        <f aca="false">IF(R1434="","",IF(R1434&lt;=Q1434,"Yes","No"))</f>
        <v/>
      </c>
      <c r="U1434" s="22" t="str">
        <f aca="false">IF(B1434="","",TEXT(YEAR(B1434),"0"))</f>
        <v/>
      </c>
    </row>
    <row r="1435" customFormat="false" ht="15" hidden="false" customHeight="false" outlineLevel="0" collapsed="false">
      <c r="B1435" s="28"/>
      <c r="C1435" s="24" t="str">
        <f aca="false">IF(B1435="","",DATE(YEAR(B1435),MONTH(B1435),1))</f>
        <v/>
      </c>
      <c r="N1435" s="26" t="str">
        <f aca="false">IF(L1435="","",L1435*M1435)</f>
        <v/>
      </c>
      <c r="P1435" s="26" t="str">
        <f aca="false">IF(L1435="","",N1435-L1435*O1435)</f>
        <v/>
      </c>
      <c r="T1435" s="22" t="str">
        <f aca="false">IF(R1435="","",IF(R1435&lt;=Q1435,"Yes","No"))</f>
        <v/>
      </c>
      <c r="U1435" s="22" t="str">
        <f aca="false">IF(B1435="","",TEXT(YEAR(B1435),"0"))</f>
        <v/>
      </c>
    </row>
    <row r="1436" customFormat="false" ht="15" hidden="false" customHeight="false" outlineLevel="0" collapsed="false">
      <c r="B1436" s="28"/>
      <c r="C1436" s="24" t="str">
        <f aca="false">IF(B1436="","",DATE(YEAR(B1436),MONTH(B1436),1))</f>
        <v/>
      </c>
      <c r="N1436" s="26" t="str">
        <f aca="false">IF(L1436="","",L1436*M1436)</f>
        <v/>
      </c>
      <c r="P1436" s="26" t="str">
        <f aca="false">IF(L1436="","",N1436-L1436*O1436)</f>
        <v/>
      </c>
      <c r="T1436" s="22" t="str">
        <f aca="false">IF(R1436="","",IF(R1436&lt;=Q1436,"Yes","No"))</f>
        <v/>
      </c>
      <c r="U1436" s="22" t="str">
        <f aca="false">IF(B1436="","",TEXT(YEAR(B1436),"0"))</f>
        <v/>
      </c>
    </row>
    <row r="1437" customFormat="false" ht="15" hidden="false" customHeight="false" outlineLevel="0" collapsed="false">
      <c r="B1437" s="28"/>
      <c r="C1437" s="24" t="str">
        <f aca="false">IF(B1437="","",DATE(YEAR(B1437),MONTH(B1437),1))</f>
        <v/>
      </c>
      <c r="N1437" s="26" t="str">
        <f aca="false">IF(L1437="","",L1437*M1437)</f>
        <v/>
      </c>
      <c r="P1437" s="26" t="str">
        <f aca="false">IF(L1437="","",N1437-L1437*O1437)</f>
        <v/>
      </c>
      <c r="T1437" s="22" t="str">
        <f aca="false">IF(R1437="","",IF(R1437&lt;=Q1437,"Yes","No"))</f>
        <v/>
      </c>
      <c r="U1437" s="22" t="str">
        <f aca="false">IF(B1437="","",TEXT(YEAR(B1437),"0"))</f>
        <v/>
      </c>
    </row>
    <row r="1438" customFormat="false" ht="15" hidden="false" customHeight="false" outlineLevel="0" collapsed="false">
      <c r="B1438" s="28"/>
      <c r="C1438" s="24" t="str">
        <f aca="false">IF(B1438="","",DATE(YEAR(B1438),MONTH(B1438),1))</f>
        <v/>
      </c>
      <c r="N1438" s="26" t="str">
        <f aca="false">IF(L1438="","",L1438*M1438)</f>
        <v/>
      </c>
      <c r="P1438" s="26" t="str">
        <f aca="false">IF(L1438="","",N1438-L1438*O1438)</f>
        <v/>
      </c>
      <c r="T1438" s="22" t="str">
        <f aca="false">IF(R1438="","",IF(R1438&lt;=Q1438,"Yes","No"))</f>
        <v/>
      </c>
      <c r="U1438" s="22" t="str">
        <f aca="false">IF(B1438="","",TEXT(YEAR(B1438),"0"))</f>
        <v/>
      </c>
    </row>
    <row r="1439" customFormat="false" ht="15" hidden="false" customHeight="false" outlineLevel="0" collapsed="false">
      <c r="B1439" s="28"/>
      <c r="C1439" s="24" t="str">
        <f aca="false">IF(B1439="","",DATE(YEAR(B1439),MONTH(B1439),1))</f>
        <v/>
      </c>
      <c r="N1439" s="26" t="str">
        <f aca="false">IF(L1439="","",L1439*M1439)</f>
        <v/>
      </c>
      <c r="P1439" s="26" t="str">
        <f aca="false">IF(L1439="","",N1439-L1439*O1439)</f>
        <v/>
      </c>
      <c r="T1439" s="22" t="str">
        <f aca="false">IF(R1439="","",IF(R1439&lt;=Q1439,"Yes","No"))</f>
        <v/>
      </c>
      <c r="U1439" s="22" t="str">
        <f aca="false">IF(B1439="","",TEXT(YEAR(B1439),"0"))</f>
        <v/>
      </c>
    </row>
    <row r="1440" customFormat="false" ht="15" hidden="false" customHeight="false" outlineLevel="0" collapsed="false">
      <c r="B1440" s="28"/>
      <c r="C1440" s="24" t="str">
        <f aca="false">IF(B1440="","",DATE(YEAR(B1440),MONTH(B1440),1))</f>
        <v/>
      </c>
      <c r="N1440" s="26" t="str">
        <f aca="false">IF(L1440="","",L1440*M1440)</f>
        <v/>
      </c>
      <c r="P1440" s="26" t="str">
        <f aca="false">IF(L1440="","",N1440-L1440*O1440)</f>
        <v/>
      </c>
      <c r="T1440" s="22" t="str">
        <f aca="false">IF(R1440="","",IF(R1440&lt;=Q1440,"Yes","No"))</f>
        <v/>
      </c>
      <c r="U1440" s="22" t="str">
        <f aca="false">IF(B1440="","",TEXT(YEAR(B1440),"0"))</f>
        <v/>
      </c>
    </row>
    <row r="1441" customFormat="false" ht="15" hidden="false" customHeight="false" outlineLevel="0" collapsed="false">
      <c r="B1441" s="28"/>
      <c r="C1441" s="24" t="str">
        <f aca="false">IF(B1441="","",DATE(YEAR(B1441),MONTH(B1441),1))</f>
        <v/>
      </c>
      <c r="N1441" s="26" t="str">
        <f aca="false">IF(L1441="","",L1441*M1441)</f>
        <v/>
      </c>
      <c r="P1441" s="26" t="str">
        <f aca="false">IF(L1441="","",N1441-L1441*O1441)</f>
        <v/>
      </c>
      <c r="T1441" s="22" t="str">
        <f aca="false">IF(R1441="","",IF(R1441&lt;=Q1441,"Yes","No"))</f>
        <v/>
      </c>
      <c r="U1441" s="22" t="str">
        <f aca="false">IF(B1441="","",TEXT(YEAR(B1441),"0"))</f>
        <v/>
      </c>
    </row>
    <row r="1442" customFormat="false" ht="15" hidden="false" customHeight="false" outlineLevel="0" collapsed="false">
      <c r="B1442" s="28"/>
      <c r="C1442" s="24" t="str">
        <f aca="false">IF(B1442="","",DATE(YEAR(B1442),MONTH(B1442),1))</f>
        <v/>
      </c>
      <c r="N1442" s="26" t="str">
        <f aca="false">IF(L1442="","",L1442*M1442)</f>
        <v/>
      </c>
      <c r="P1442" s="26" t="str">
        <f aca="false">IF(L1442="","",N1442-L1442*O1442)</f>
        <v/>
      </c>
      <c r="T1442" s="22" t="str">
        <f aca="false">IF(R1442="","",IF(R1442&lt;=Q1442,"Yes","No"))</f>
        <v/>
      </c>
      <c r="U1442" s="22" t="str">
        <f aca="false">IF(B1442="","",TEXT(YEAR(B1442),"0"))</f>
        <v/>
      </c>
    </row>
    <row r="1443" customFormat="false" ht="15" hidden="false" customHeight="false" outlineLevel="0" collapsed="false">
      <c r="B1443" s="28"/>
      <c r="C1443" s="24" t="str">
        <f aca="false">IF(B1443="","",DATE(YEAR(B1443),MONTH(B1443),1))</f>
        <v/>
      </c>
      <c r="N1443" s="26" t="str">
        <f aca="false">IF(L1443="","",L1443*M1443)</f>
        <v/>
      </c>
      <c r="P1443" s="26" t="str">
        <f aca="false">IF(L1443="","",N1443-L1443*O1443)</f>
        <v/>
      </c>
      <c r="T1443" s="22" t="str">
        <f aca="false">IF(R1443="","",IF(R1443&lt;=Q1443,"Yes","No"))</f>
        <v/>
      </c>
      <c r="U1443" s="22" t="str">
        <f aca="false">IF(B1443="","",TEXT(YEAR(B1443),"0"))</f>
        <v/>
      </c>
    </row>
    <row r="1444" customFormat="false" ht="15" hidden="false" customHeight="false" outlineLevel="0" collapsed="false">
      <c r="B1444" s="28"/>
      <c r="C1444" s="24" t="str">
        <f aca="false">IF(B1444="","",DATE(YEAR(B1444),MONTH(B1444),1))</f>
        <v/>
      </c>
      <c r="N1444" s="26" t="str">
        <f aca="false">IF(L1444="","",L1444*M1444)</f>
        <v/>
      </c>
      <c r="P1444" s="26" t="str">
        <f aca="false">IF(L1444="","",N1444-L1444*O1444)</f>
        <v/>
      </c>
      <c r="T1444" s="22" t="str">
        <f aca="false">IF(R1444="","",IF(R1444&lt;=Q1444,"Yes","No"))</f>
        <v/>
      </c>
      <c r="U1444" s="22" t="str">
        <f aca="false">IF(B1444="","",TEXT(YEAR(B1444),"0"))</f>
        <v/>
      </c>
    </row>
    <row r="1445" customFormat="false" ht="15" hidden="false" customHeight="false" outlineLevel="0" collapsed="false">
      <c r="B1445" s="28"/>
      <c r="C1445" s="24" t="str">
        <f aca="false">IF(B1445="","",DATE(YEAR(B1445),MONTH(B1445),1))</f>
        <v/>
      </c>
      <c r="N1445" s="26" t="str">
        <f aca="false">IF(L1445="","",L1445*M1445)</f>
        <v/>
      </c>
      <c r="P1445" s="26" t="str">
        <f aca="false">IF(L1445="","",N1445-L1445*O1445)</f>
        <v/>
      </c>
      <c r="T1445" s="22" t="str">
        <f aca="false">IF(R1445="","",IF(R1445&lt;=Q1445,"Yes","No"))</f>
        <v/>
      </c>
      <c r="U1445" s="22" t="str">
        <f aca="false">IF(B1445="","",TEXT(YEAR(B1445),"0"))</f>
        <v/>
      </c>
    </row>
    <row r="1446" customFormat="false" ht="15" hidden="false" customHeight="false" outlineLevel="0" collapsed="false">
      <c r="B1446" s="28"/>
      <c r="C1446" s="24" t="str">
        <f aca="false">IF(B1446="","",DATE(YEAR(B1446),MONTH(B1446),1))</f>
        <v/>
      </c>
      <c r="N1446" s="26" t="str">
        <f aca="false">IF(L1446="","",L1446*M1446)</f>
        <v/>
      </c>
      <c r="P1446" s="26" t="str">
        <f aca="false">IF(L1446="","",N1446-L1446*O1446)</f>
        <v/>
      </c>
      <c r="T1446" s="22" t="str">
        <f aca="false">IF(R1446="","",IF(R1446&lt;=Q1446,"Yes","No"))</f>
        <v/>
      </c>
      <c r="U1446" s="22" t="str">
        <f aca="false">IF(B1446="","",TEXT(YEAR(B1446),"0"))</f>
        <v/>
      </c>
    </row>
    <row r="1447" customFormat="false" ht="15" hidden="false" customHeight="false" outlineLevel="0" collapsed="false">
      <c r="B1447" s="28"/>
      <c r="C1447" s="24" t="str">
        <f aca="false">IF(B1447="","",DATE(YEAR(B1447),MONTH(B1447),1))</f>
        <v/>
      </c>
      <c r="N1447" s="26" t="str">
        <f aca="false">IF(L1447="","",L1447*M1447)</f>
        <v/>
      </c>
      <c r="P1447" s="26" t="str">
        <f aca="false">IF(L1447="","",N1447-L1447*O1447)</f>
        <v/>
      </c>
      <c r="T1447" s="22" t="str">
        <f aca="false">IF(R1447="","",IF(R1447&lt;=Q1447,"Yes","No"))</f>
        <v/>
      </c>
      <c r="U1447" s="22" t="str">
        <f aca="false">IF(B1447="","",TEXT(YEAR(B1447),"0"))</f>
        <v/>
      </c>
    </row>
    <row r="1448" customFormat="false" ht="15" hidden="false" customHeight="false" outlineLevel="0" collapsed="false">
      <c r="B1448" s="28"/>
      <c r="C1448" s="24" t="str">
        <f aca="false">IF(B1448="","",DATE(YEAR(B1448),MONTH(B1448),1))</f>
        <v/>
      </c>
      <c r="N1448" s="26" t="str">
        <f aca="false">IF(L1448="","",L1448*M1448)</f>
        <v/>
      </c>
      <c r="P1448" s="26" t="str">
        <f aca="false">IF(L1448="","",N1448-L1448*O1448)</f>
        <v/>
      </c>
      <c r="T1448" s="22" t="str">
        <f aca="false">IF(R1448="","",IF(R1448&lt;=Q1448,"Yes","No"))</f>
        <v/>
      </c>
      <c r="U1448" s="22" t="str">
        <f aca="false">IF(B1448="","",TEXT(YEAR(B1448),"0"))</f>
        <v/>
      </c>
    </row>
    <row r="1449" customFormat="false" ht="15" hidden="false" customHeight="false" outlineLevel="0" collapsed="false">
      <c r="B1449" s="28"/>
      <c r="C1449" s="24" t="str">
        <f aca="false">IF(B1449="","",DATE(YEAR(B1449),MONTH(B1449),1))</f>
        <v/>
      </c>
      <c r="N1449" s="26" t="str">
        <f aca="false">IF(L1449="","",L1449*M1449)</f>
        <v/>
      </c>
      <c r="P1449" s="26" t="str">
        <f aca="false">IF(L1449="","",N1449-L1449*O1449)</f>
        <v/>
      </c>
      <c r="T1449" s="22" t="str">
        <f aca="false">IF(R1449="","",IF(R1449&lt;=Q1449,"Yes","No"))</f>
        <v/>
      </c>
      <c r="U1449" s="22" t="str">
        <f aca="false">IF(B1449="","",TEXT(YEAR(B1449),"0"))</f>
        <v/>
      </c>
    </row>
    <row r="1450" customFormat="false" ht="15" hidden="false" customHeight="false" outlineLevel="0" collapsed="false">
      <c r="B1450" s="28"/>
      <c r="C1450" s="24" t="str">
        <f aca="false">IF(B1450="","",DATE(YEAR(B1450),MONTH(B1450),1))</f>
        <v/>
      </c>
      <c r="N1450" s="26" t="str">
        <f aca="false">IF(L1450="","",L1450*M1450)</f>
        <v/>
      </c>
      <c r="P1450" s="26" t="str">
        <f aca="false">IF(L1450="","",N1450-L1450*O1450)</f>
        <v/>
      </c>
      <c r="T1450" s="22" t="str">
        <f aca="false">IF(R1450="","",IF(R1450&lt;=Q1450,"Yes","No"))</f>
        <v/>
      </c>
      <c r="U1450" s="22" t="str">
        <f aca="false">IF(B1450="","",TEXT(YEAR(B1450),"0"))</f>
        <v/>
      </c>
    </row>
    <row r="1451" customFormat="false" ht="15" hidden="false" customHeight="false" outlineLevel="0" collapsed="false">
      <c r="B1451" s="28"/>
      <c r="C1451" s="24" t="str">
        <f aca="false">IF(B1451="","",DATE(YEAR(B1451),MONTH(B1451),1))</f>
        <v/>
      </c>
      <c r="N1451" s="26" t="str">
        <f aca="false">IF(L1451="","",L1451*M1451)</f>
        <v/>
      </c>
      <c r="P1451" s="26" t="str">
        <f aca="false">IF(L1451="","",N1451-L1451*O1451)</f>
        <v/>
      </c>
      <c r="T1451" s="22" t="str">
        <f aca="false">IF(R1451="","",IF(R1451&lt;=Q1451,"Yes","No"))</f>
        <v/>
      </c>
      <c r="U1451" s="22" t="str">
        <f aca="false">IF(B1451="","",TEXT(YEAR(B1451),"0"))</f>
        <v/>
      </c>
    </row>
    <row r="1452" customFormat="false" ht="15" hidden="false" customHeight="false" outlineLevel="0" collapsed="false">
      <c r="B1452" s="28"/>
      <c r="C1452" s="24" t="str">
        <f aca="false">IF(B1452="","",DATE(YEAR(B1452),MONTH(B1452),1))</f>
        <v/>
      </c>
      <c r="N1452" s="26" t="str">
        <f aca="false">IF(L1452="","",L1452*M1452)</f>
        <v/>
      </c>
      <c r="P1452" s="26" t="str">
        <f aca="false">IF(L1452="","",N1452-L1452*O1452)</f>
        <v/>
      </c>
      <c r="T1452" s="22" t="str">
        <f aca="false">IF(R1452="","",IF(R1452&lt;=Q1452,"Yes","No"))</f>
        <v/>
      </c>
      <c r="U1452" s="22" t="str">
        <f aca="false">IF(B1452="","",TEXT(YEAR(B1452),"0"))</f>
        <v/>
      </c>
    </row>
    <row r="1453" customFormat="false" ht="15" hidden="false" customHeight="false" outlineLevel="0" collapsed="false">
      <c r="B1453" s="28"/>
      <c r="C1453" s="24" t="str">
        <f aca="false">IF(B1453="","",DATE(YEAR(B1453),MONTH(B1453),1))</f>
        <v/>
      </c>
      <c r="N1453" s="26" t="str">
        <f aca="false">IF(L1453="","",L1453*M1453)</f>
        <v/>
      </c>
      <c r="P1453" s="26" t="str">
        <f aca="false">IF(L1453="","",N1453-L1453*O1453)</f>
        <v/>
      </c>
      <c r="T1453" s="22" t="str">
        <f aca="false">IF(R1453="","",IF(R1453&lt;=Q1453,"Yes","No"))</f>
        <v/>
      </c>
      <c r="U1453" s="22" t="str">
        <f aca="false">IF(B1453="","",TEXT(YEAR(B1453),"0"))</f>
        <v/>
      </c>
    </row>
    <row r="1454" customFormat="false" ht="15" hidden="false" customHeight="false" outlineLevel="0" collapsed="false">
      <c r="B1454" s="28"/>
      <c r="C1454" s="24" t="str">
        <f aca="false">IF(B1454="","",DATE(YEAR(B1454),MONTH(B1454),1))</f>
        <v/>
      </c>
      <c r="N1454" s="26" t="str">
        <f aca="false">IF(L1454="","",L1454*M1454)</f>
        <v/>
      </c>
      <c r="P1454" s="26" t="str">
        <f aca="false">IF(L1454="","",N1454-L1454*O1454)</f>
        <v/>
      </c>
      <c r="T1454" s="22" t="str">
        <f aca="false">IF(R1454="","",IF(R1454&lt;=Q1454,"Yes","No"))</f>
        <v/>
      </c>
      <c r="U1454" s="22" t="str">
        <f aca="false">IF(B1454="","",TEXT(YEAR(B1454),"0"))</f>
        <v/>
      </c>
    </row>
    <row r="1455" customFormat="false" ht="15" hidden="false" customHeight="false" outlineLevel="0" collapsed="false">
      <c r="B1455" s="28"/>
      <c r="C1455" s="24" t="str">
        <f aca="false">IF(B1455="","",DATE(YEAR(B1455),MONTH(B1455),1))</f>
        <v/>
      </c>
      <c r="N1455" s="26" t="str">
        <f aca="false">IF(L1455="","",L1455*M1455)</f>
        <v/>
      </c>
      <c r="P1455" s="26" t="str">
        <f aca="false">IF(L1455="","",N1455-L1455*O1455)</f>
        <v/>
      </c>
      <c r="T1455" s="22" t="str">
        <f aca="false">IF(R1455="","",IF(R1455&lt;=Q1455,"Yes","No"))</f>
        <v/>
      </c>
      <c r="U1455" s="22" t="str">
        <f aca="false">IF(B1455="","",TEXT(YEAR(B1455),"0"))</f>
        <v/>
      </c>
    </row>
    <row r="1456" customFormat="false" ht="15" hidden="false" customHeight="false" outlineLevel="0" collapsed="false">
      <c r="B1456" s="28"/>
      <c r="C1456" s="24" t="str">
        <f aca="false">IF(B1456="","",DATE(YEAR(B1456),MONTH(B1456),1))</f>
        <v/>
      </c>
      <c r="N1456" s="26" t="str">
        <f aca="false">IF(L1456="","",L1456*M1456)</f>
        <v/>
      </c>
      <c r="P1456" s="26" t="str">
        <f aca="false">IF(L1456="","",N1456-L1456*O1456)</f>
        <v/>
      </c>
      <c r="T1456" s="22" t="str">
        <f aca="false">IF(R1456="","",IF(R1456&lt;=Q1456,"Yes","No"))</f>
        <v/>
      </c>
      <c r="U1456" s="22" t="str">
        <f aca="false">IF(B1456="","",TEXT(YEAR(B1456),"0"))</f>
        <v/>
      </c>
    </row>
    <row r="1457" customFormat="false" ht="15" hidden="false" customHeight="false" outlineLevel="0" collapsed="false">
      <c r="B1457" s="28"/>
      <c r="C1457" s="24" t="str">
        <f aca="false">IF(B1457="","",DATE(YEAR(B1457),MONTH(B1457),1))</f>
        <v/>
      </c>
      <c r="N1457" s="26" t="str">
        <f aca="false">IF(L1457="","",L1457*M1457)</f>
        <v/>
      </c>
      <c r="P1457" s="26" t="str">
        <f aca="false">IF(L1457="","",N1457-L1457*O1457)</f>
        <v/>
      </c>
      <c r="T1457" s="22" t="str">
        <f aca="false">IF(R1457="","",IF(R1457&lt;=Q1457,"Yes","No"))</f>
        <v/>
      </c>
      <c r="U1457" s="22" t="str">
        <f aca="false">IF(B1457="","",TEXT(YEAR(B1457),"0"))</f>
        <v/>
      </c>
    </row>
    <row r="1458" customFormat="false" ht="15" hidden="false" customHeight="false" outlineLevel="0" collapsed="false">
      <c r="B1458" s="28"/>
      <c r="C1458" s="24" t="str">
        <f aca="false">IF(B1458="","",DATE(YEAR(B1458),MONTH(B1458),1))</f>
        <v/>
      </c>
      <c r="N1458" s="26" t="str">
        <f aca="false">IF(L1458="","",L1458*M1458)</f>
        <v/>
      </c>
      <c r="P1458" s="26" t="str">
        <f aca="false">IF(L1458="","",N1458-L1458*O1458)</f>
        <v/>
      </c>
      <c r="T1458" s="22" t="str">
        <f aca="false">IF(R1458="","",IF(R1458&lt;=Q1458,"Yes","No"))</f>
        <v/>
      </c>
      <c r="U1458" s="22" t="str">
        <f aca="false">IF(B1458="","",TEXT(YEAR(B1458),"0"))</f>
        <v/>
      </c>
    </row>
    <row r="1459" customFormat="false" ht="15" hidden="false" customHeight="false" outlineLevel="0" collapsed="false">
      <c r="B1459" s="28"/>
      <c r="C1459" s="24" t="str">
        <f aca="false">IF(B1459="","",DATE(YEAR(B1459),MONTH(B1459),1))</f>
        <v/>
      </c>
      <c r="N1459" s="26" t="str">
        <f aca="false">IF(L1459="","",L1459*M1459)</f>
        <v/>
      </c>
      <c r="P1459" s="26" t="str">
        <f aca="false">IF(L1459="","",N1459-L1459*O1459)</f>
        <v/>
      </c>
      <c r="T1459" s="22" t="str">
        <f aca="false">IF(R1459="","",IF(R1459&lt;=Q1459,"Yes","No"))</f>
        <v/>
      </c>
      <c r="U1459" s="22" t="str">
        <f aca="false">IF(B1459="","",TEXT(YEAR(B1459),"0"))</f>
        <v/>
      </c>
    </row>
    <row r="1460" customFormat="false" ht="15" hidden="false" customHeight="false" outlineLevel="0" collapsed="false">
      <c r="B1460" s="28"/>
      <c r="C1460" s="24" t="str">
        <f aca="false">IF(B1460="","",DATE(YEAR(B1460),MONTH(B1460),1))</f>
        <v/>
      </c>
      <c r="N1460" s="26" t="str">
        <f aca="false">IF(L1460="","",L1460*M1460)</f>
        <v/>
      </c>
      <c r="P1460" s="26" t="str">
        <f aca="false">IF(L1460="","",N1460-L1460*O1460)</f>
        <v/>
      </c>
      <c r="T1460" s="22" t="str">
        <f aca="false">IF(R1460="","",IF(R1460&lt;=Q1460,"Yes","No"))</f>
        <v/>
      </c>
      <c r="U1460" s="22" t="str">
        <f aca="false">IF(B1460="","",TEXT(YEAR(B1460),"0"))</f>
        <v/>
      </c>
    </row>
    <row r="1461" customFormat="false" ht="15" hidden="false" customHeight="false" outlineLevel="0" collapsed="false">
      <c r="B1461" s="28"/>
      <c r="C1461" s="24" t="str">
        <f aca="false">IF(B1461="","",DATE(YEAR(B1461),MONTH(B1461),1))</f>
        <v/>
      </c>
      <c r="N1461" s="26" t="str">
        <f aca="false">IF(L1461="","",L1461*M1461)</f>
        <v/>
      </c>
      <c r="P1461" s="26" t="str">
        <f aca="false">IF(L1461="","",N1461-L1461*O1461)</f>
        <v/>
      </c>
      <c r="T1461" s="22" t="str">
        <f aca="false">IF(R1461="","",IF(R1461&lt;=Q1461,"Yes","No"))</f>
        <v/>
      </c>
      <c r="U1461" s="22" t="str">
        <f aca="false">IF(B1461="","",TEXT(YEAR(B1461),"0"))</f>
        <v/>
      </c>
    </row>
    <row r="1462" customFormat="false" ht="15" hidden="false" customHeight="false" outlineLevel="0" collapsed="false">
      <c r="B1462" s="28"/>
      <c r="C1462" s="24" t="str">
        <f aca="false">IF(B1462="","",DATE(YEAR(B1462),MONTH(B1462),1))</f>
        <v/>
      </c>
      <c r="N1462" s="26" t="str">
        <f aca="false">IF(L1462="","",L1462*M1462)</f>
        <v/>
      </c>
      <c r="P1462" s="26" t="str">
        <f aca="false">IF(L1462="","",N1462-L1462*O1462)</f>
        <v/>
      </c>
      <c r="T1462" s="22" t="str">
        <f aca="false">IF(R1462="","",IF(R1462&lt;=Q1462,"Yes","No"))</f>
        <v/>
      </c>
      <c r="U1462" s="22" t="str">
        <f aca="false">IF(B1462="","",TEXT(YEAR(B1462),"0"))</f>
        <v/>
      </c>
    </row>
    <row r="1463" customFormat="false" ht="15" hidden="false" customHeight="false" outlineLevel="0" collapsed="false">
      <c r="B1463" s="28"/>
      <c r="C1463" s="24" t="str">
        <f aca="false">IF(B1463="","",DATE(YEAR(B1463),MONTH(B1463),1))</f>
        <v/>
      </c>
      <c r="N1463" s="26" t="str">
        <f aca="false">IF(L1463="","",L1463*M1463)</f>
        <v/>
      </c>
      <c r="P1463" s="26" t="str">
        <f aca="false">IF(L1463="","",N1463-L1463*O1463)</f>
        <v/>
      </c>
      <c r="T1463" s="22" t="str">
        <f aca="false">IF(R1463="","",IF(R1463&lt;=Q1463,"Yes","No"))</f>
        <v/>
      </c>
      <c r="U1463" s="22" t="str">
        <f aca="false">IF(B1463="","",TEXT(YEAR(B1463),"0"))</f>
        <v/>
      </c>
    </row>
    <row r="1464" customFormat="false" ht="15" hidden="false" customHeight="false" outlineLevel="0" collapsed="false">
      <c r="B1464" s="28"/>
      <c r="C1464" s="24" t="str">
        <f aca="false">IF(B1464="","",DATE(YEAR(B1464),MONTH(B1464),1))</f>
        <v/>
      </c>
      <c r="N1464" s="26" t="str">
        <f aca="false">IF(L1464="","",L1464*M1464)</f>
        <v/>
      </c>
      <c r="P1464" s="26" t="str">
        <f aca="false">IF(L1464="","",N1464-L1464*O1464)</f>
        <v/>
      </c>
      <c r="T1464" s="22" t="str">
        <f aca="false">IF(R1464="","",IF(R1464&lt;=Q1464,"Yes","No"))</f>
        <v/>
      </c>
      <c r="U1464" s="22" t="str">
        <f aca="false">IF(B1464="","",TEXT(YEAR(B1464),"0"))</f>
        <v/>
      </c>
    </row>
    <row r="1465" customFormat="false" ht="15" hidden="false" customHeight="false" outlineLevel="0" collapsed="false">
      <c r="B1465" s="28"/>
      <c r="C1465" s="24" t="str">
        <f aca="false">IF(B1465="","",DATE(YEAR(B1465),MONTH(B1465),1))</f>
        <v/>
      </c>
      <c r="N1465" s="26" t="str">
        <f aca="false">IF(L1465="","",L1465*M1465)</f>
        <v/>
      </c>
      <c r="P1465" s="26" t="str">
        <f aca="false">IF(L1465="","",N1465-L1465*O1465)</f>
        <v/>
      </c>
      <c r="T1465" s="22" t="str">
        <f aca="false">IF(R1465="","",IF(R1465&lt;=Q1465,"Yes","No"))</f>
        <v/>
      </c>
      <c r="U1465" s="22" t="str">
        <f aca="false">IF(B1465="","",TEXT(YEAR(B1465),"0"))</f>
        <v/>
      </c>
    </row>
    <row r="1466" customFormat="false" ht="15" hidden="false" customHeight="false" outlineLevel="0" collapsed="false">
      <c r="B1466" s="28"/>
      <c r="C1466" s="24" t="str">
        <f aca="false">IF(B1466="","",DATE(YEAR(B1466),MONTH(B1466),1))</f>
        <v/>
      </c>
      <c r="N1466" s="26" t="str">
        <f aca="false">IF(L1466="","",L1466*M1466)</f>
        <v/>
      </c>
      <c r="P1466" s="26" t="str">
        <f aca="false">IF(L1466="","",N1466-L1466*O1466)</f>
        <v/>
      </c>
      <c r="T1466" s="22" t="str">
        <f aca="false">IF(R1466="","",IF(R1466&lt;=Q1466,"Yes","No"))</f>
        <v/>
      </c>
      <c r="U1466" s="22" t="str">
        <f aca="false">IF(B1466="","",TEXT(YEAR(B1466),"0"))</f>
        <v/>
      </c>
    </row>
    <row r="1467" customFormat="false" ht="15" hidden="false" customHeight="false" outlineLevel="0" collapsed="false">
      <c r="B1467" s="28"/>
      <c r="C1467" s="24" t="str">
        <f aca="false">IF(B1467="","",DATE(YEAR(B1467),MONTH(B1467),1))</f>
        <v/>
      </c>
      <c r="N1467" s="26" t="str">
        <f aca="false">IF(L1467="","",L1467*M1467)</f>
        <v/>
      </c>
      <c r="P1467" s="26" t="str">
        <f aca="false">IF(L1467="","",N1467-L1467*O1467)</f>
        <v/>
      </c>
      <c r="T1467" s="22" t="str">
        <f aca="false">IF(R1467="","",IF(R1467&lt;=Q1467,"Yes","No"))</f>
        <v/>
      </c>
      <c r="U1467" s="22" t="str">
        <f aca="false">IF(B1467="","",TEXT(YEAR(B1467),"0"))</f>
        <v/>
      </c>
    </row>
    <row r="1468" customFormat="false" ht="15" hidden="false" customHeight="false" outlineLevel="0" collapsed="false">
      <c r="B1468" s="28"/>
      <c r="C1468" s="24" t="str">
        <f aca="false">IF(B1468="","",DATE(YEAR(B1468),MONTH(B1468),1))</f>
        <v/>
      </c>
      <c r="N1468" s="26" t="str">
        <f aca="false">IF(L1468="","",L1468*M1468)</f>
        <v/>
      </c>
      <c r="P1468" s="26" t="str">
        <f aca="false">IF(L1468="","",N1468-L1468*O1468)</f>
        <v/>
      </c>
      <c r="T1468" s="22" t="str">
        <f aca="false">IF(R1468="","",IF(R1468&lt;=Q1468,"Yes","No"))</f>
        <v/>
      </c>
      <c r="U1468" s="22" t="str">
        <f aca="false">IF(B1468="","",TEXT(YEAR(B1468),"0"))</f>
        <v/>
      </c>
    </row>
    <row r="1469" customFormat="false" ht="15" hidden="false" customHeight="false" outlineLevel="0" collapsed="false">
      <c r="B1469" s="28"/>
      <c r="C1469" s="24" t="str">
        <f aca="false">IF(B1469="","",DATE(YEAR(B1469),MONTH(B1469),1))</f>
        <v/>
      </c>
      <c r="N1469" s="26" t="str">
        <f aca="false">IF(L1469="","",L1469*M1469)</f>
        <v/>
      </c>
      <c r="P1469" s="26" t="str">
        <f aca="false">IF(L1469="","",N1469-L1469*O1469)</f>
        <v/>
      </c>
      <c r="T1469" s="22" t="str">
        <f aca="false">IF(R1469="","",IF(R1469&lt;=Q1469,"Yes","No"))</f>
        <v/>
      </c>
      <c r="U1469" s="22" t="str">
        <f aca="false">IF(B1469="","",TEXT(YEAR(B1469),"0"))</f>
        <v/>
      </c>
    </row>
    <row r="1470" customFormat="false" ht="15" hidden="false" customHeight="false" outlineLevel="0" collapsed="false">
      <c r="B1470" s="28"/>
      <c r="C1470" s="24" t="str">
        <f aca="false">IF(B1470="","",DATE(YEAR(B1470),MONTH(B1470),1))</f>
        <v/>
      </c>
      <c r="N1470" s="26" t="str">
        <f aca="false">IF(L1470="","",L1470*M1470)</f>
        <v/>
      </c>
      <c r="P1470" s="26" t="str">
        <f aca="false">IF(L1470="","",N1470-L1470*O1470)</f>
        <v/>
      </c>
      <c r="T1470" s="22" t="str">
        <f aca="false">IF(R1470="","",IF(R1470&lt;=Q1470,"Yes","No"))</f>
        <v/>
      </c>
      <c r="U1470" s="22" t="str">
        <f aca="false">IF(B1470="","",TEXT(YEAR(B1470),"0"))</f>
        <v/>
      </c>
    </row>
    <row r="1471" customFormat="false" ht="15" hidden="false" customHeight="false" outlineLevel="0" collapsed="false">
      <c r="B1471" s="28"/>
      <c r="C1471" s="24" t="str">
        <f aca="false">IF(B1471="","",DATE(YEAR(B1471),MONTH(B1471),1))</f>
        <v/>
      </c>
      <c r="N1471" s="26" t="str">
        <f aca="false">IF(L1471="","",L1471*M1471)</f>
        <v/>
      </c>
      <c r="P1471" s="26" t="str">
        <f aca="false">IF(L1471="","",N1471-L1471*O1471)</f>
        <v/>
      </c>
      <c r="T1471" s="22" t="str">
        <f aca="false">IF(R1471="","",IF(R1471&lt;=Q1471,"Yes","No"))</f>
        <v/>
      </c>
      <c r="U1471" s="22" t="str">
        <f aca="false">IF(B1471="","",TEXT(YEAR(B1471),"0"))</f>
        <v/>
      </c>
    </row>
    <row r="1472" customFormat="false" ht="15" hidden="false" customHeight="false" outlineLevel="0" collapsed="false">
      <c r="B1472" s="28"/>
      <c r="C1472" s="24" t="str">
        <f aca="false">IF(B1472="","",DATE(YEAR(B1472),MONTH(B1472),1))</f>
        <v/>
      </c>
      <c r="N1472" s="26" t="str">
        <f aca="false">IF(L1472="","",L1472*M1472)</f>
        <v/>
      </c>
      <c r="P1472" s="26" t="str">
        <f aca="false">IF(L1472="","",N1472-L1472*O1472)</f>
        <v/>
      </c>
      <c r="T1472" s="22" t="str">
        <f aca="false">IF(R1472="","",IF(R1472&lt;=Q1472,"Yes","No"))</f>
        <v/>
      </c>
      <c r="U1472" s="22" t="str">
        <f aca="false">IF(B1472="","",TEXT(YEAR(B1472),"0"))</f>
        <v/>
      </c>
    </row>
    <row r="1473" customFormat="false" ht="15" hidden="false" customHeight="false" outlineLevel="0" collapsed="false">
      <c r="B1473" s="28"/>
      <c r="C1473" s="24" t="str">
        <f aca="false">IF(B1473="","",DATE(YEAR(B1473),MONTH(B1473),1))</f>
        <v/>
      </c>
      <c r="N1473" s="26" t="str">
        <f aca="false">IF(L1473="","",L1473*M1473)</f>
        <v/>
      </c>
      <c r="P1473" s="26" t="str">
        <f aca="false">IF(L1473="","",N1473-L1473*O1473)</f>
        <v/>
      </c>
      <c r="T1473" s="22" t="str">
        <f aca="false">IF(R1473="","",IF(R1473&lt;=Q1473,"Yes","No"))</f>
        <v/>
      </c>
      <c r="U1473" s="22" t="str">
        <f aca="false">IF(B1473="","",TEXT(YEAR(B1473),"0"))</f>
        <v/>
      </c>
    </row>
    <row r="1474" customFormat="false" ht="15" hidden="false" customHeight="false" outlineLevel="0" collapsed="false">
      <c r="B1474" s="28"/>
      <c r="C1474" s="24" t="str">
        <f aca="false">IF(B1474="","",DATE(YEAR(B1474),MONTH(B1474),1))</f>
        <v/>
      </c>
      <c r="N1474" s="26" t="str">
        <f aca="false">IF(L1474="","",L1474*M1474)</f>
        <v/>
      </c>
      <c r="P1474" s="26" t="str">
        <f aca="false">IF(L1474="","",N1474-L1474*O1474)</f>
        <v/>
      </c>
      <c r="T1474" s="22" t="str">
        <f aca="false">IF(R1474="","",IF(R1474&lt;=Q1474,"Yes","No"))</f>
        <v/>
      </c>
      <c r="U1474" s="22" t="str">
        <f aca="false">IF(B1474="","",TEXT(YEAR(B1474),"0"))</f>
        <v/>
      </c>
    </row>
    <row r="1475" customFormat="false" ht="15" hidden="false" customHeight="false" outlineLevel="0" collapsed="false">
      <c r="B1475" s="28"/>
      <c r="C1475" s="24" t="str">
        <f aca="false">IF(B1475="","",DATE(YEAR(B1475),MONTH(B1475),1))</f>
        <v/>
      </c>
      <c r="N1475" s="26" t="str">
        <f aca="false">IF(L1475="","",L1475*M1475)</f>
        <v/>
      </c>
      <c r="P1475" s="26" t="str">
        <f aca="false">IF(L1475="","",N1475-L1475*O1475)</f>
        <v/>
      </c>
      <c r="T1475" s="22" t="str">
        <f aca="false">IF(R1475="","",IF(R1475&lt;=Q1475,"Yes","No"))</f>
        <v/>
      </c>
      <c r="U1475" s="22" t="str">
        <f aca="false">IF(B1475="","",TEXT(YEAR(B1475),"0"))</f>
        <v/>
      </c>
    </row>
    <row r="1476" customFormat="false" ht="15" hidden="false" customHeight="false" outlineLevel="0" collapsed="false">
      <c r="B1476" s="28"/>
      <c r="C1476" s="24" t="str">
        <f aca="false">IF(B1476="","",DATE(YEAR(B1476),MONTH(B1476),1))</f>
        <v/>
      </c>
      <c r="N1476" s="26" t="str">
        <f aca="false">IF(L1476="","",L1476*M1476)</f>
        <v/>
      </c>
      <c r="P1476" s="26" t="str">
        <f aca="false">IF(L1476="","",N1476-L1476*O1476)</f>
        <v/>
      </c>
      <c r="T1476" s="22" t="str">
        <f aca="false">IF(R1476="","",IF(R1476&lt;=Q1476,"Yes","No"))</f>
        <v/>
      </c>
      <c r="U1476" s="22" t="str">
        <f aca="false">IF(B1476="","",TEXT(YEAR(B1476),"0"))</f>
        <v/>
      </c>
    </row>
    <row r="1477" customFormat="false" ht="15" hidden="false" customHeight="false" outlineLevel="0" collapsed="false">
      <c r="B1477" s="28"/>
      <c r="C1477" s="24" t="str">
        <f aca="false">IF(B1477="","",DATE(YEAR(B1477),MONTH(B1477),1))</f>
        <v/>
      </c>
      <c r="N1477" s="26" t="str">
        <f aca="false">IF(L1477="","",L1477*M1477)</f>
        <v/>
      </c>
      <c r="P1477" s="26" t="str">
        <f aca="false">IF(L1477="","",N1477-L1477*O1477)</f>
        <v/>
      </c>
      <c r="T1477" s="22" t="str">
        <f aca="false">IF(R1477="","",IF(R1477&lt;=Q1477,"Yes","No"))</f>
        <v/>
      </c>
      <c r="U1477" s="22" t="str">
        <f aca="false">IF(B1477="","",TEXT(YEAR(B1477),"0"))</f>
        <v/>
      </c>
    </row>
    <row r="1478" customFormat="false" ht="15" hidden="false" customHeight="false" outlineLevel="0" collapsed="false">
      <c r="B1478" s="28"/>
      <c r="C1478" s="24" t="str">
        <f aca="false">IF(B1478="","",DATE(YEAR(B1478),MONTH(B1478),1))</f>
        <v/>
      </c>
      <c r="N1478" s="26" t="str">
        <f aca="false">IF(L1478="","",L1478*M1478)</f>
        <v/>
      </c>
      <c r="P1478" s="26" t="str">
        <f aca="false">IF(L1478="","",N1478-L1478*O1478)</f>
        <v/>
      </c>
      <c r="T1478" s="22" t="str">
        <f aca="false">IF(R1478="","",IF(R1478&lt;=Q1478,"Yes","No"))</f>
        <v/>
      </c>
      <c r="U1478" s="22" t="str">
        <f aca="false">IF(B1478="","",TEXT(YEAR(B1478),"0"))</f>
        <v/>
      </c>
    </row>
    <row r="1479" customFormat="false" ht="15" hidden="false" customHeight="false" outlineLevel="0" collapsed="false">
      <c r="B1479" s="28"/>
      <c r="C1479" s="24" t="str">
        <f aca="false">IF(B1479="","",DATE(YEAR(B1479),MONTH(B1479),1))</f>
        <v/>
      </c>
      <c r="N1479" s="26" t="str">
        <f aca="false">IF(L1479="","",L1479*M1479)</f>
        <v/>
      </c>
      <c r="P1479" s="26" t="str">
        <f aca="false">IF(L1479="","",N1479-L1479*O1479)</f>
        <v/>
      </c>
      <c r="T1479" s="22" t="str">
        <f aca="false">IF(R1479="","",IF(R1479&lt;=Q1479,"Yes","No"))</f>
        <v/>
      </c>
      <c r="U1479" s="22" t="str">
        <f aca="false">IF(B1479="","",TEXT(YEAR(B1479),"0"))</f>
        <v/>
      </c>
    </row>
    <row r="1480" customFormat="false" ht="15" hidden="false" customHeight="false" outlineLevel="0" collapsed="false">
      <c r="B1480" s="28"/>
      <c r="C1480" s="24" t="str">
        <f aca="false">IF(B1480="","",DATE(YEAR(B1480),MONTH(B1480),1))</f>
        <v/>
      </c>
      <c r="N1480" s="26" t="str">
        <f aca="false">IF(L1480="","",L1480*M1480)</f>
        <v/>
      </c>
      <c r="P1480" s="26" t="str">
        <f aca="false">IF(L1480="","",N1480-L1480*O1480)</f>
        <v/>
      </c>
      <c r="T1480" s="22" t="str">
        <f aca="false">IF(R1480="","",IF(R1480&lt;=Q1480,"Yes","No"))</f>
        <v/>
      </c>
      <c r="U1480" s="22" t="str">
        <f aca="false">IF(B1480="","",TEXT(YEAR(B1480),"0"))</f>
        <v/>
      </c>
    </row>
    <row r="1481" customFormat="false" ht="15" hidden="false" customHeight="false" outlineLevel="0" collapsed="false">
      <c r="B1481" s="28"/>
      <c r="C1481" s="24" t="str">
        <f aca="false">IF(B1481="","",DATE(YEAR(B1481),MONTH(B1481),1))</f>
        <v/>
      </c>
      <c r="N1481" s="26" t="str">
        <f aca="false">IF(L1481="","",L1481*M1481)</f>
        <v/>
      </c>
      <c r="P1481" s="26" t="str">
        <f aca="false">IF(L1481="","",N1481-L1481*O1481)</f>
        <v/>
      </c>
      <c r="T1481" s="22" t="str">
        <f aca="false">IF(R1481="","",IF(R1481&lt;=Q1481,"Yes","No"))</f>
        <v/>
      </c>
      <c r="U1481" s="22" t="str">
        <f aca="false">IF(B1481="","",TEXT(YEAR(B1481),"0"))</f>
        <v/>
      </c>
    </row>
    <row r="1482" customFormat="false" ht="15" hidden="false" customHeight="false" outlineLevel="0" collapsed="false">
      <c r="B1482" s="28"/>
      <c r="C1482" s="24" t="str">
        <f aca="false">IF(B1482="","",DATE(YEAR(B1482),MONTH(B1482),1))</f>
        <v/>
      </c>
      <c r="N1482" s="26" t="str">
        <f aca="false">IF(L1482="","",L1482*M1482)</f>
        <v/>
      </c>
      <c r="P1482" s="26" t="str">
        <f aca="false">IF(L1482="","",N1482-L1482*O1482)</f>
        <v/>
      </c>
      <c r="T1482" s="22" t="str">
        <f aca="false">IF(R1482="","",IF(R1482&lt;=Q1482,"Yes","No"))</f>
        <v/>
      </c>
      <c r="U1482" s="22" t="str">
        <f aca="false">IF(B1482="","",TEXT(YEAR(B1482),"0"))</f>
        <v/>
      </c>
    </row>
    <row r="1483" customFormat="false" ht="15" hidden="false" customHeight="false" outlineLevel="0" collapsed="false">
      <c r="B1483" s="28"/>
      <c r="C1483" s="24" t="str">
        <f aca="false">IF(B1483="","",DATE(YEAR(B1483),MONTH(B1483),1))</f>
        <v/>
      </c>
      <c r="N1483" s="26" t="str">
        <f aca="false">IF(L1483="","",L1483*M1483)</f>
        <v/>
      </c>
      <c r="P1483" s="26" t="str">
        <f aca="false">IF(L1483="","",N1483-L1483*O1483)</f>
        <v/>
      </c>
      <c r="T1483" s="22" t="str">
        <f aca="false">IF(R1483="","",IF(R1483&lt;=Q1483,"Yes","No"))</f>
        <v/>
      </c>
      <c r="U1483" s="22" t="str">
        <f aca="false">IF(B1483="","",TEXT(YEAR(B1483),"0"))</f>
        <v/>
      </c>
    </row>
    <row r="1484" customFormat="false" ht="15" hidden="false" customHeight="false" outlineLevel="0" collapsed="false">
      <c r="B1484" s="28"/>
      <c r="C1484" s="24" t="str">
        <f aca="false">IF(B1484="","",DATE(YEAR(B1484),MONTH(B1484),1))</f>
        <v/>
      </c>
      <c r="N1484" s="26" t="str">
        <f aca="false">IF(L1484="","",L1484*M1484)</f>
        <v/>
      </c>
      <c r="P1484" s="26" t="str">
        <f aca="false">IF(L1484="","",N1484-L1484*O1484)</f>
        <v/>
      </c>
      <c r="T1484" s="22" t="str">
        <f aca="false">IF(R1484="","",IF(R1484&lt;=Q1484,"Yes","No"))</f>
        <v/>
      </c>
      <c r="U1484" s="22" t="str">
        <f aca="false">IF(B1484="","",TEXT(YEAR(B1484),"0"))</f>
        <v/>
      </c>
    </row>
    <row r="1485" customFormat="false" ht="15" hidden="false" customHeight="false" outlineLevel="0" collapsed="false">
      <c r="B1485" s="28"/>
      <c r="C1485" s="24" t="str">
        <f aca="false">IF(B1485="","",DATE(YEAR(B1485),MONTH(B1485),1))</f>
        <v/>
      </c>
      <c r="N1485" s="26" t="str">
        <f aca="false">IF(L1485="","",L1485*M1485)</f>
        <v/>
      </c>
      <c r="P1485" s="26" t="str">
        <f aca="false">IF(L1485="","",N1485-L1485*O1485)</f>
        <v/>
      </c>
      <c r="T1485" s="22" t="str">
        <f aca="false">IF(R1485="","",IF(R1485&lt;=Q1485,"Yes","No"))</f>
        <v/>
      </c>
      <c r="U1485" s="22" t="str">
        <f aca="false">IF(B1485="","",TEXT(YEAR(B1485),"0"))</f>
        <v/>
      </c>
    </row>
    <row r="1486" customFormat="false" ht="15" hidden="false" customHeight="false" outlineLevel="0" collapsed="false">
      <c r="B1486" s="28"/>
      <c r="C1486" s="24" t="str">
        <f aca="false">IF(B1486="","",DATE(YEAR(B1486),MONTH(B1486),1))</f>
        <v/>
      </c>
      <c r="N1486" s="26" t="str">
        <f aca="false">IF(L1486="","",L1486*M1486)</f>
        <v/>
      </c>
      <c r="P1486" s="26" t="str">
        <f aca="false">IF(L1486="","",N1486-L1486*O1486)</f>
        <v/>
      </c>
      <c r="T1486" s="22" t="str">
        <f aca="false">IF(R1486="","",IF(R1486&lt;=Q1486,"Yes","No"))</f>
        <v/>
      </c>
      <c r="U1486" s="22" t="str">
        <f aca="false">IF(B1486="","",TEXT(YEAR(B1486),"0"))</f>
        <v/>
      </c>
    </row>
    <row r="1487" customFormat="false" ht="15" hidden="false" customHeight="false" outlineLevel="0" collapsed="false">
      <c r="B1487" s="28"/>
      <c r="C1487" s="24" t="str">
        <f aca="false">IF(B1487="","",DATE(YEAR(B1487),MONTH(B1487),1))</f>
        <v/>
      </c>
      <c r="N1487" s="26" t="str">
        <f aca="false">IF(L1487="","",L1487*M1487)</f>
        <v/>
      </c>
      <c r="P1487" s="26" t="str">
        <f aca="false">IF(L1487="","",N1487-L1487*O1487)</f>
        <v/>
      </c>
      <c r="T1487" s="22" t="str">
        <f aca="false">IF(R1487="","",IF(R1487&lt;=Q1487,"Yes","No"))</f>
        <v/>
      </c>
      <c r="U1487" s="22" t="str">
        <f aca="false">IF(B1487="","",TEXT(YEAR(B1487),"0"))</f>
        <v/>
      </c>
    </row>
    <row r="1488" customFormat="false" ht="15" hidden="false" customHeight="false" outlineLevel="0" collapsed="false">
      <c r="B1488" s="28"/>
      <c r="C1488" s="24" t="str">
        <f aca="false">IF(B1488="","",DATE(YEAR(B1488),MONTH(B1488),1))</f>
        <v/>
      </c>
      <c r="N1488" s="26" t="str">
        <f aca="false">IF(L1488="","",L1488*M1488)</f>
        <v/>
      </c>
      <c r="P1488" s="26" t="str">
        <f aca="false">IF(L1488="","",N1488-L1488*O1488)</f>
        <v/>
      </c>
      <c r="T1488" s="22" t="str">
        <f aca="false">IF(R1488="","",IF(R1488&lt;=Q1488,"Yes","No"))</f>
        <v/>
      </c>
      <c r="U1488" s="22" t="str">
        <f aca="false">IF(B1488="","",TEXT(YEAR(B1488),"0"))</f>
        <v/>
      </c>
    </row>
    <row r="1489" customFormat="false" ht="15" hidden="false" customHeight="false" outlineLevel="0" collapsed="false">
      <c r="B1489" s="28"/>
      <c r="C1489" s="24" t="str">
        <f aca="false">IF(B1489="","",DATE(YEAR(B1489),MONTH(B1489),1))</f>
        <v/>
      </c>
      <c r="N1489" s="26" t="str">
        <f aca="false">IF(L1489="","",L1489*M1489)</f>
        <v/>
      </c>
      <c r="P1489" s="26" t="str">
        <f aca="false">IF(L1489="","",N1489-L1489*O1489)</f>
        <v/>
      </c>
      <c r="T1489" s="22" t="str">
        <f aca="false">IF(R1489="","",IF(R1489&lt;=Q1489,"Yes","No"))</f>
        <v/>
      </c>
      <c r="U1489" s="22" t="str">
        <f aca="false">IF(B1489="","",TEXT(YEAR(B1489),"0"))</f>
        <v/>
      </c>
    </row>
    <row r="1490" customFormat="false" ht="15" hidden="false" customHeight="false" outlineLevel="0" collapsed="false">
      <c r="B1490" s="28"/>
      <c r="C1490" s="24" t="str">
        <f aca="false">IF(B1490="","",DATE(YEAR(B1490),MONTH(B1490),1))</f>
        <v/>
      </c>
      <c r="N1490" s="26" t="str">
        <f aca="false">IF(L1490="","",L1490*M1490)</f>
        <v/>
      </c>
      <c r="P1490" s="26" t="str">
        <f aca="false">IF(L1490="","",N1490-L1490*O1490)</f>
        <v/>
      </c>
      <c r="T1490" s="22" t="str">
        <f aca="false">IF(R1490="","",IF(R1490&lt;=Q1490,"Yes","No"))</f>
        <v/>
      </c>
      <c r="U1490" s="22" t="str">
        <f aca="false">IF(B1490="","",TEXT(YEAR(B1490),"0"))</f>
        <v/>
      </c>
    </row>
    <row r="1491" customFormat="false" ht="15" hidden="false" customHeight="false" outlineLevel="0" collapsed="false">
      <c r="B1491" s="28"/>
      <c r="C1491" s="24" t="str">
        <f aca="false">IF(B1491="","",DATE(YEAR(B1491),MONTH(B1491),1))</f>
        <v/>
      </c>
      <c r="N1491" s="26" t="str">
        <f aca="false">IF(L1491="","",L1491*M1491)</f>
        <v/>
      </c>
      <c r="P1491" s="26" t="str">
        <f aca="false">IF(L1491="","",N1491-L1491*O1491)</f>
        <v/>
      </c>
      <c r="T1491" s="22" t="str">
        <f aca="false">IF(R1491="","",IF(R1491&lt;=Q1491,"Yes","No"))</f>
        <v/>
      </c>
      <c r="U1491" s="22" t="str">
        <f aca="false">IF(B1491="","",TEXT(YEAR(B1491),"0"))</f>
        <v/>
      </c>
    </row>
    <row r="1492" customFormat="false" ht="15" hidden="false" customHeight="false" outlineLevel="0" collapsed="false">
      <c r="B1492" s="28"/>
      <c r="C1492" s="24" t="str">
        <f aca="false">IF(B1492="","",DATE(YEAR(B1492),MONTH(B1492),1))</f>
        <v/>
      </c>
      <c r="N1492" s="26" t="str">
        <f aca="false">IF(L1492="","",L1492*M1492)</f>
        <v/>
      </c>
      <c r="P1492" s="26" t="str">
        <f aca="false">IF(L1492="","",N1492-L1492*O1492)</f>
        <v/>
      </c>
      <c r="T1492" s="22" t="str">
        <f aca="false">IF(R1492="","",IF(R1492&lt;=Q1492,"Yes","No"))</f>
        <v/>
      </c>
      <c r="U1492" s="22" t="str">
        <f aca="false">IF(B1492="","",TEXT(YEAR(B1492),"0"))</f>
        <v/>
      </c>
    </row>
    <row r="1493" customFormat="false" ht="15" hidden="false" customHeight="false" outlineLevel="0" collapsed="false">
      <c r="B1493" s="28"/>
      <c r="C1493" s="24" t="str">
        <f aca="false">IF(B1493="","",DATE(YEAR(B1493),MONTH(B1493),1))</f>
        <v/>
      </c>
      <c r="N1493" s="26" t="str">
        <f aca="false">IF(L1493="","",L1493*M1493)</f>
        <v/>
      </c>
      <c r="P1493" s="26" t="str">
        <f aca="false">IF(L1493="","",N1493-L1493*O1493)</f>
        <v/>
      </c>
      <c r="T1493" s="22" t="str">
        <f aca="false">IF(R1493="","",IF(R1493&lt;=Q1493,"Yes","No"))</f>
        <v/>
      </c>
      <c r="U1493" s="22" t="str">
        <f aca="false">IF(B1493="","",TEXT(YEAR(B1493),"0"))</f>
        <v/>
      </c>
    </row>
    <row r="1494" customFormat="false" ht="15" hidden="false" customHeight="false" outlineLevel="0" collapsed="false">
      <c r="B1494" s="28"/>
      <c r="C1494" s="24" t="str">
        <f aca="false">IF(B1494="","",DATE(YEAR(B1494),MONTH(B1494),1))</f>
        <v/>
      </c>
      <c r="N1494" s="26" t="str">
        <f aca="false">IF(L1494="","",L1494*M1494)</f>
        <v/>
      </c>
      <c r="P1494" s="26" t="str">
        <f aca="false">IF(L1494="","",N1494-L1494*O1494)</f>
        <v/>
      </c>
      <c r="T1494" s="22" t="str">
        <f aca="false">IF(R1494="","",IF(R1494&lt;=Q1494,"Yes","No"))</f>
        <v/>
      </c>
      <c r="U1494" s="22" t="str">
        <f aca="false">IF(B1494="","",TEXT(YEAR(B1494),"0"))</f>
        <v/>
      </c>
    </row>
    <row r="1495" customFormat="false" ht="15" hidden="false" customHeight="false" outlineLevel="0" collapsed="false">
      <c r="B1495" s="28"/>
      <c r="C1495" s="24" t="str">
        <f aca="false">IF(B1495="","",DATE(YEAR(B1495),MONTH(B1495),1))</f>
        <v/>
      </c>
      <c r="N1495" s="26" t="str">
        <f aca="false">IF(L1495="","",L1495*M1495)</f>
        <v/>
      </c>
      <c r="P1495" s="26" t="str">
        <f aca="false">IF(L1495="","",N1495-L1495*O1495)</f>
        <v/>
      </c>
      <c r="T1495" s="22" t="str">
        <f aca="false">IF(R1495="","",IF(R1495&lt;=Q1495,"Yes","No"))</f>
        <v/>
      </c>
      <c r="U1495" s="22" t="str">
        <f aca="false">IF(B1495="","",TEXT(YEAR(B1495),"0"))</f>
        <v/>
      </c>
    </row>
    <row r="1496" customFormat="false" ht="15" hidden="false" customHeight="false" outlineLevel="0" collapsed="false">
      <c r="B1496" s="28"/>
      <c r="C1496" s="24" t="str">
        <f aca="false">IF(B1496="","",DATE(YEAR(B1496),MONTH(B1496),1))</f>
        <v/>
      </c>
      <c r="N1496" s="26" t="str">
        <f aca="false">IF(L1496="","",L1496*M1496)</f>
        <v/>
      </c>
      <c r="P1496" s="26" t="str">
        <f aca="false">IF(L1496="","",N1496-L1496*O1496)</f>
        <v/>
      </c>
      <c r="T1496" s="22" t="str">
        <f aca="false">IF(R1496="","",IF(R1496&lt;=Q1496,"Yes","No"))</f>
        <v/>
      </c>
      <c r="U1496" s="22" t="str">
        <f aca="false">IF(B1496="","",TEXT(YEAR(B1496),"0"))</f>
        <v/>
      </c>
    </row>
    <row r="1497" customFormat="false" ht="15" hidden="false" customHeight="false" outlineLevel="0" collapsed="false">
      <c r="B1497" s="28"/>
      <c r="C1497" s="24" t="str">
        <f aca="false">IF(B1497="","",DATE(YEAR(B1497),MONTH(B1497),1))</f>
        <v/>
      </c>
      <c r="N1497" s="26" t="str">
        <f aca="false">IF(L1497="","",L1497*M1497)</f>
        <v/>
      </c>
      <c r="P1497" s="26" t="str">
        <f aca="false">IF(L1497="","",N1497-L1497*O1497)</f>
        <v/>
      </c>
      <c r="T1497" s="22" t="str">
        <f aca="false">IF(R1497="","",IF(R1497&lt;=Q1497,"Yes","No"))</f>
        <v/>
      </c>
      <c r="U1497" s="22" t="str">
        <f aca="false">IF(B1497="","",TEXT(YEAR(B1497),"0"))</f>
        <v/>
      </c>
    </row>
    <row r="1498" customFormat="false" ht="15" hidden="false" customHeight="false" outlineLevel="0" collapsed="false">
      <c r="B1498" s="28"/>
      <c r="C1498" s="24" t="str">
        <f aca="false">IF(B1498="","",DATE(YEAR(B1498),MONTH(B1498),1))</f>
        <v/>
      </c>
      <c r="N1498" s="26" t="str">
        <f aca="false">IF(L1498="","",L1498*M1498)</f>
        <v/>
      </c>
      <c r="P1498" s="26" t="str">
        <f aca="false">IF(L1498="","",N1498-L1498*O1498)</f>
        <v/>
      </c>
      <c r="T1498" s="22" t="str">
        <f aca="false">IF(R1498="","",IF(R1498&lt;=Q1498,"Yes","No"))</f>
        <v/>
      </c>
      <c r="U1498" s="22" t="str">
        <f aca="false">IF(B1498="","",TEXT(YEAR(B1498),"0"))</f>
        <v/>
      </c>
    </row>
    <row r="1499" customFormat="false" ht="15" hidden="false" customHeight="false" outlineLevel="0" collapsed="false">
      <c r="B1499" s="28"/>
      <c r="C1499" s="24" t="str">
        <f aca="false">IF(B1499="","",DATE(YEAR(B1499),MONTH(B1499),1))</f>
        <v/>
      </c>
      <c r="N1499" s="26" t="str">
        <f aca="false">IF(L1499="","",L1499*M1499)</f>
        <v/>
      </c>
      <c r="P1499" s="26" t="str">
        <f aca="false">IF(L1499="","",N1499-L1499*O1499)</f>
        <v/>
      </c>
      <c r="T1499" s="22" t="str">
        <f aca="false">IF(R1499="","",IF(R1499&lt;=Q1499,"Yes","No"))</f>
        <v/>
      </c>
      <c r="U1499" s="22" t="str">
        <f aca="false">IF(B1499="","",TEXT(YEAR(B1499),"0"))</f>
        <v/>
      </c>
    </row>
    <row r="1500" customFormat="false" ht="15" hidden="false" customHeight="false" outlineLevel="0" collapsed="false">
      <c r="B1500" s="28"/>
      <c r="C1500" s="24" t="str">
        <f aca="false">IF(B1500="","",DATE(YEAR(B1500),MONTH(B1500),1))</f>
        <v/>
      </c>
      <c r="N1500" s="26" t="str">
        <f aca="false">IF(L1500="","",L1500*M1500)</f>
        <v/>
      </c>
      <c r="P1500" s="26" t="str">
        <f aca="false">IF(L1500="","",N1500-L1500*O1500)</f>
        <v/>
      </c>
      <c r="T1500" s="22" t="str">
        <f aca="false">IF(R1500="","",IF(R1500&lt;=Q1500,"Yes","No"))</f>
        <v/>
      </c>
      <c r="U1500" s="22" t="str">
        <f aca="false">IF(B1500="","",TEXT(YEAR(B1500),"0"))</f>
        <v/>
      </c>
    </row>
  </sheetData>
  <autoFilter ref="A1:U15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21" t="s">
        <v>20</v>
      </c>
      <c r="B1" s="21" t="s">
        <v>21</v>
      </c>
      <c r="C1" s="21" t="s">
        <v>22</v>
      </c>
      <c r="D1" s="21" t="s">
        <v>23</v>
      </c>
      <c r="E1" s="21" t="s">
        <v>369</v>
      </c>
      <c r="F1" s="21" t="s">
        <v>370</v>
      </c>
      <c r="H1" s="6" t="s">
        <v>371</v>
      </c>
    </row>
    <row r="2" customFormat="false" ht="15" hidden="false" customHeight="false" outlineLevel="0" collapsed="false">
      <c r="A2" s="29" t="s">
        <v>73</v>
      </c>
      <c r="B2" s="29" t="s">
        <v>74</v>
      </c>
      <c r="C2" s="29" t="s">
        <v>75</v>
      </c>
      <c r="D2" s="29" t="s">
        <v>51</v>
      </c>
      <c r="E2" s="25" t="n">
        <v>820</v>
      </c>
      <c r="F2" s="30" t="n">
        <v>0.72</v>
      </c>
    </row>
    <row r="3" customFormat="false" ht="15" hidden="false" customHeight="false" outlineLevel="0" collapsed="false">
      <c r="A3" s="29" t="s">
        <v>211</v>
      </c>
      <c r="B3" s="29" t="s">
        <v>212</v>
      </c>
      <c r="C3" s="29" t="s">
        <v>213</v>
      </c>
      <c r="D3" s="29" t="s">
        <v>51</v>
      </c>
      <c r="E3" s="25" t="n">
        <v>780</v>
      </c>
      <c r="F3" s="30" t="n">
        <v>0.72</v>
      </c>
    </row>
    <row r="4" customFormat="false" ht="15" hidden="false" customHeight="false" outlineLevel="0" collapsed="false">
      <c r="A4" s="29" t="s">
        <v>56</v>
      </c>
      <c r="B4" s="29" t="s">
        <v>57</v>
      </c>
      <c r="C4" s="29" t="s">
        <v>58</v>
      </c>
      <c r="D4" s="29" t="s">
        <v>51</v>
      </c>
      <c r="E4" s="25" t="n">
        <v>760</v>
      </c>
      <c r="F4" s="30" t="n">
        <v>0.73</v>
      </c>
    </row>
    <row r="5" customFormat="false" ht="15" hidden="false" customHeight="false" outlineLevel="0" collapsed="false">
      <c r="A5" s="29" t="s">
        <v>139</v>
      </c>
      <c r="B5" s="29" t="s">
        <v>140</v>
      </c>
      <c r="C5" s="29" t="s">
        <v>141</v>
      </c>
      <c r="D5" s="29" t="s">
        <v>51</v>
      </c>
      <c r="E5" s="25" t="n">
        <v>880</v>
      </c>
      <c r="F5" s="30" t="n">
        <v>0.71</v>
      </c>
    </row>
    <row r="6" customFormat="false" ht="15" hidden="false" customHeight="false" outlineLevel="0" collapsed="false">
      <c r="A6" s="29" t="s">
        <v>85</v>
      </c>
      <c r="B6" s="29" t="s">
        <v>86</v>
      </c>
      <c r="C6" s="29" t="s">
        <v>87</v>
      </c>
      <c r="D6" s="29" t="s">
        <v>51</v>
      </c>
      <c r="E6" s="25" t="n">
        <v>840</v>
      </c>
      <c r="F6" s="30" t="n">
        <v>0.72</v>
      </c>
    </row>
    <row r="7" customFormat="false" ht="15" hidden="false" customHeight="false" outlineLevel="0" collapsed="false">
      <c r="A7" s="29" t="s">
        <v>49</v>
      </c>
      <c r="B7" s="29" t="s">
        <v>50</v>
      </c>
      <c r="C7" s="29" t="s">
        <v>41</v>
      </c>
      <c r="D7" s="29" t="s">
        <v>51</v>
      </c>
      <c r="E7" s="25" t="n">
        <v>800</v>
      </c>
      <c r="F7" s="30" t="n">
        <v>0.72</v>
      </c>
    </row>
    <row r="8" customFormat="false" ht="15" hidden="false" customHeight="false" outlineLevel="0" collapsed="false">
      <c r="A8" s="29" t="s">
        <v>110</v>
      </c>
      <c r="B8" s="29" t="s">
        <v>111</v>
      </c>
      <c r="C8" s="29" t="s">
        <v>112</v>
      </c>
      <c r="D8" s="29" t="s">
        <v>113</v>
      </c>
      <c r="E8" s="25" t="n">
        <v>900</v>
      </c>
      <c r="F8" s="30" t="n">
        <v>0.71</v>
      </c>
    </row>
    <row r="9" customFormat="false" ht="15" hidden="false" customHeight="false" outlineLevel="0" collapsed="false">
      <c r="A9" s="29" t="s">
        <v>220</v>
      </c>
      <c r="B9" s="29" t="s">
        <v>221</v>
      </c>
      <c r="C9" s="29" t="s">
        <v>222</v>
      </c>
      <c r="D9" s="29" t="s">
        <v>113</v>
      </c>
      <c r="E9" s="25" t="n">
        <v>940</v>
      </c>
      <c r="F9" s="30" t="n">
        <v>0.71</v>
      </c>
    </row>
    <row r="10" customFormat="false" ht="15" hidden="false" customHeight="false" outlineLevel="0" collapsed="false">
      <c r="A10" s="29" t="s">
        <v>171</v>
      </c>
      <c r="B10" s="29" t="s">
        <v>172</v>
      </c>
      <c r="C10" s="29" t="s">
        <v>173</v>
      </c>
      <c r="D10" s="29" t="s">
        <v>113</v>
      </c>
      <c r="E10" s="25" t="n">
        <v>960</v>
      </c>
      <c r="F10" s="30" t="n">
        <v>0.7</v>
      </c>
    </row>
    <row r="11" customFormat="false" ht="15" hidden="false" customHeight="false" outlineLevel="0" collapsed="false">
      <c r="A11" s="29" t="s">
        <v>243</v>
      </c>
      <c r="B11" s="29" t="s">
        <v>244</v>
      </c>
      <c r="C11" s="29" t="s">
        <v>245</v>
      </c>
      <c r="D11" s="29" t="s">
        <v>113</v>
      </c>
      <c r="E11" s="25" t="n">
        <v>980</v>
      </c>
      <c r="F11" s="30" t="n">
        <v>0.7</v>
      </c>
    </row>
    <row r="12" customFormat="false" ht="15" hidden="false" customHeight="false" outlineLevel="0" collapsed="false">
      <c r="A12" s="29" t="s">
        <v>257</v>
      </c>
      <c r="B12" s="29" t="s">
        <v>258</v>
      </c>
      <c r="C12" s="29" t="s">
        <v>259</v>
      </c>
      <c r="D12" s="29" t="s">
        <v>122</v>
      </c>
      <c r="E12" s="25" t="n">
        <v>1050</v>
      </c>
      <c r="F12" s="30" t="n">
        <v>0.7</v>
      </c>
    </row>
    <row r="13" customFormat="false" ht="15" hidden="false" customHeight="false" outlineLevel="0" collapsed="false">
      <c r="A13" s="29" t="s">
        <v>181</v>
      </c>
      <c r="B13" s="29" t="s">
        <v>182</v>
      </c>
      <c r="C13" s="29" t="s">
        <v>183</v>
      </c>
      <c r="D13" s="29" t="s">
        <v>122</v>
      </c>
      <c r="E13" s="25" t="n">
        <v>1000</v>
      </c>
      <c r="F13" s="30" t="n">
        <v>0.7</v>
      </c>
    </row>
    <row r="14" customFormat="false" ht="15" hidden="false" customHeight="false" outlineLevel="0" collapsed="false">
      <c r="A14" s="29" t="s">
        <v>162</v>
      </c>
      <c r="B14" s="29" t="s">
        <v>163</v>
      </c>
      <c r="C14" s="29" t="s">
        <v>164</v>
      </c>
      <c r="D14" s="29" t="s">
        <v>122</v>
      </c>
      <c r="E14" s="25" t="n">
        <v>1120</v>
      </c>
      <c r="F14" s="30" t="n">
        <v>0.69</v>
      </c>
    </row>
    <row r="15" customFormat="false" ht="15" hidden="false" customHeight="false" outlineLevel="0" collapsed="false">
      <c r="A15" s="29" t="s">
        <v>317</v>
      </c>
      <c r="B15" s="29" t="s">
        <v>318</v>
      </c>
      <c r="C15" s="29" t="s">
        <v>319</v>
      </c>
      <c r="D15" s="29" t="s">
        <v>122</v>
      </c>
      <c r="E15" s="25" t="n">
        <v>1180</v>
      </c>
      <c r="F15" s="30" t="n">
        <v>0.69</v>
      </c>
    </row>
    <row r="16" customFormat="false" ht="15" hidden="false" customHeight="false" outlineLevel="0" collapsed="false">
      <c r="A16" s="29" t="s">
        <v>119</v>
      </c>
      <c r="B16" s="29" t="s">
        <v>120</v>
      </c>
      <c r="C16" s="29" t="s">
        <v>121</v>
      </c>
      <c r="D16" s="29" t="s">
        <v>122</v>
      </c>
      <c r="E16" s="25" t="n">
        <v>1150</v>
      </c>
      <c r="F16" s="30" t="n">
        <v>0.69</v>
      </c>
    </row>
    <row r="17" customFormat="false" ht="15" hidden="false" customHeight="false" outlineLevel="0" collapsed="false">
      <c r="A17" s="29" t="s">
        <v>155</v>
      </c>
      <c r="B17" s="29" t="s">
        <v>156</v>
      </c>
      <c r="C17" s="29" t="s">
        <v>157</v>
      </c>
      <c r="D17" s="29" t="s">
        <v>122</v>
      </c>
      <c r="E17" s="25" t="n">
        <v>1100</v>
      </c>
      <c r="F17" s="30" t="n">
        <v>0.7</v>
      </c>
    </row>
    <row r="18" customFormat="false" ht="15" hidden="false" customHeight="false" outlineLevel="0" collapsed="false">
      <c r="A18" s="29" t="s">
        <v>278</v>
      </c>
      <c r="B18" s="29" t="s">
        <v>279</v>
      </c>
      <c r="C18" s="29" t="s">
        <v>157</v>
      </c>
      <c r="D18" s="29" t="s">
        <v>122</v>
      </c>
      <c r="E18" s="25" t="n">
        <v>1080</v>
      </c>
      <c r="F18" s="30" t="n">
        <v>0.7</v>
      </c>
    </row>
    <row r="19" customFormat="false" ht="15" hidden="false" customHeight="false" outlineLevel="0" collapsed="false">
      <c r="A19" s="29" t="s">
        <v>282</v>
      </c>
      <c r="B19" s="29" t="s">
        <v>283</v>
      </c>
      <c r="C19" s="29" t="s">
        <v>284</v>
      </c>
      <c r="D19" s="29" t="s">
        <v>234</v>
      </c>
      <c r="E19" s="25" t="n">
        <v>1250</v>
      </c>
      <c r="F19" s="30" t="n">
        <v>0.68</v>
      </c>
    </row>
    <row r="20" customFormat="false" ht="15" hidden="false" customHeight="false" outlineLevel="0" collapsed="false">
      <c r="A20" s="29" t="s">
        <v>232</v>
      </c>
      <c r="B20" s="29" t="s">
        <v>233</v>
      </c>
      <c r="C20" s="29" t="s">
        <v>41</v>
      </c>
      <c r="D20" s="29" t="s">
        <v>234</v>
      </c>
      <c r="E20" s="25" t="n">
        <v>1200</v>
      </c>
      <c r="F20" s="30" t="n">
        <v>0.68</v>
      </c>
    </row>
    <row r="21" customFormat="false" ht="15" hidden="false" customHeight="false" outlineLevel="0" collapsed="false">
      <c r="A21" s="29" t="s">
        <v>82</v>
      </c>
      <c r="B21" s="29" t="s">
        <v>83</v>
      </c>
      <c r="C21" s="29" t="s">
        <v>41</v>
      </c>
      <c r="D21" s="29" t="s">
        <v>66</v>
      </c>
      <c r="E21" s="25" t="n">
        <v>640</v>
      </c>
      <c r="F21" s="30" t="n">
        <v>0.76</v>
      </c>
    </row>
    <row r="22" customFormat="false" ht="15" hidden="false" customHeight="false" outlineLevel="0" collapsed="false">
      <c r="A22" s="29" t="s">
        <v>63</v>
      </c>
      <c r="B22" s="29" t="s">
        <v>64</v>
      </c>
      <c r="C22" s="29" t="s">
        <v>65</v>
      </c>
      <c r="D22" s="29" t="s">
        <v>66</v>
      </c>
      <c r="E22" s="25" t="n">
        <v>720</v>
      </c>
      <c r="F22" s="30" t="n">
        <v>0.75</v>
      </c>
    </row>
    <row r="23" customFormat="false" ht="15" hidden="false" customHeight="false" outlineLevel="0" collapsed="false">
      <c r="A23" s="29" t="s">
        <v>134</v>
      </c>
      <c r="B23" s="29" t="s">
        <v>135</v>
      </c>
      <c r="C23" s="29" t="s">
        <v>136</v>
      </c>
      <c r="D23" s="29" t="s">
        <v>66</v>
      </c>
      <c r="E23" s="25" t="n">
        <v>700</v>
      </c>
      <c r="F23" s="30" t="n">
        <v>0.75</v>
      </c>
    </row>
    <row r="24" customFormat="false" ht="15" hidden="false" customHeight="false" outlineLevel="0" collapsed="false">
      <c r="A24" s="29" t="s">
        <v>89</v>
      </c>
      <c r="B24" s="29" t="s">
        <v>90</v>
      </c>
      <c r="C24" s="29" t="s">
        <v>91</v>
      </c>
      <c r="D24" s="29" t="s">
        <v>66</v>
      </c>
      <c r="E24" s="25" t="n">
        <v>680</v>
      </c>
      <c r="F24" s="30" t="n">
        <v>0.75</v>
      </c>
    </row>
    <row r="25" customFormat="false" ht="15" hidden="false" customHeight="false" outlineLevel="0" collapsed="false">
      <c r="A25" s="29" t="s">
        <v>99</v>
      </c>
      <c r="B25" s="29" t="s">
        <v>100</v>
      </c>
      <c r="C25" s="29" t="s">
        <v>101</v>
      </c>
      <c r="D25" s="29" t="s">
        <v>80</v>
      </c>
      <c r="E25" s="25" t="n">
        <v>1320</v>
      </c>
      <c r="F25" s="30" t="n">
        <v>0.67</v>
      </c>
    </row>
    <row r="26" customFormat="false" ht="15" hidden="false" customHeight="false" outlineLevel="0" collapsed="false">
      <c r="A26" s="29" t="s">
        <v>116</v>
      </c>
      <c r="B26" s="29" t="s">
        <v>117</v>
      </c>
      <c r="C26" s="29" t="s">
        <v>41</v>
      </c>
      <c r="D26" s="29" t="s">
        <v>80</v>
      </c>
      <c r="E26" s="25" t="n">
        <v>1240</v>
      </c>
      <c r="F26" s="30" t="n">
        <v>0.68</v>
      </c>
    </row>
    <row r="27" customFormat="false" ht="15" hidden="false" customHeight="false" outlineLevel="0" collapsed="false">
      <c r="A27" s="29" t="s">
        <v>297</v>
      </c>
      <c r="B27" s="29" t="s">
        <v>298</v>
      </c>
      <c r="C27" s="29" t="s">
        <v>41</v>
      </c>
      <c r="D27" s="29" t="s">
        <v>80</v>
      </c>
      <c r="E27" s="25" t="n">
        <v>1380</v>
      </c>
      <c r="F27" s="30" t="n">
        <v>0.66</v>
      </c>
    </row>
    <row r="28" customFormat="false" ht="15" hidden="false" customHeight="false" outlineLevel="0" collapsed="false">
      <c r="A28" s="29" t="s">
        <v>199</v>
      </c>
      <c r="B28" s="29" t="s">
        <v>200</v>
      </c>
      <c r="C28" s="29" t="s">
        <v>41</v>
      </c>
      <c r="D28" s="29" t="s">
        <v>80</v>
      </c>
      <c r="E28" s="25" t="n">
        <v>1300</v>
      </c>
      <c r="F28" s="30" t="n">
        <v>0.67</v>
      </c>
    </row>
    <row r="29" customFormat="false" ht="15" hidden="false" customHeight="false" outlineLevel="0" collapsed="false">
      <c r="A29" s="29" t="s">
        <v>78</v>
      </c>
      <c r="B29" s="29" t="s">
        <v>79</v>
      </c>
      <c r="C29" s="29" t="s">
        <v>41</v>
      </c>
      <c r="D29" s="29" t="s">
        <v>80</v>
      </c>
      <c r="E29" s="25" t="n">
        <v>1280</v>
      </c>
      <c r="F29" s="30" t="n">
        <v>0.67</v>
      </c>
    </row>
    <row r="30" customFormat="false" ht="15" hidden="false" customHeight="false" outlineLevel="0" collapsed="false">
      <c r="A30" s="29" t="s">
        <v>225</v>
      </c>
      <c r="B30" s="29" t="s">
        <v>226</v>
      </c>
      <c r="C30" s="29" t="s">
        <v>41</v>
      </c>
      <c r="D30" s="29" t="s">
        <v>42</v>
      </c>
      <c r="E30" s="25" t="n">
        <v>860</v>
      </c>
      <c r="F30" s="30" t="n">
        <v>0.73</v>
      </c>
    </row>
    <row r="31" customFormat="false" ht="15" hidden="false" customHeight="false" outlineLevel="0" collapsed="false">
      <c r="A31" s="29" t="s">
        <v>39</v>
      </c>
      <c r="B31" s="29" t="s">
        <v>40</v>
      </c>
      <c r="C31" s="29" t="s">
        <v>41</v>
      </c>
      <c r="D31" s="29" t="s">
        <v>42</v>
      </c>
      <c r="E31" s="25" t="n">
        <v>840</v>
      </c>
      <c r="F31" s="30" t="n">
        <v>0.73</v>
      </c>
    </row>
    <row r="32" customFormat="false" ht="15" hidden="false" customHeight="false" outlineLevel="0" collapsed="false">
      <c r="A32" s="29" t="s">
        <v>93</v>
      </c>
      <c r="B32" s="29" t="s">
        <v>94</v>
      </c>
      <c r="C32" s="29" t="s">
        <v>41</v>
      </c>
      <c r="D32" s="29" t="s">
        <v>42</v>
      </c>
      <c r="E32" s="25" t="n">
        <v>830</v>
      </c>
      <c r="F32" s="30" t="n">
        <v>0.73</v>
      </c>
    </row>
    <row r="33" customFormat="false" ht="15" hidden="false" customHeight="false" outlineLevel="0" collapsed="false">
      <c r="A33" s="29" t="s">
        <v>253</v>
      </c>
      <c r="B33" s="29" t="s">
        <v>254</v>
      </c>
      <c r="C33" s="29" t="s">
        <v>41</v>
      </c>
      <c r="D33" s="29" t="s">
        <v>42</v>
      </c>
      <c r="E33" s="25" t="n">
        <v>830</v>
      </c>
      <c r="F33" s="30" t="n">
        <v>0.73</v>
      </c>
    </row>
    <row r="34" customFormat="false" ht="15" hidden="false" customHeight="false" outlineLevel="0" collapsed="false">
      <c r="A34" s="29" t="s">
        <v>188</v>
      </c>
      <c r="B34" s="29" t="s">
        <v>189</v>
      </c>
      <c r="C34" s="29" t="s">
        <v>41</v>
      </c>
      <c r="D34" s="29" t="s">
        <v>42</v>
      </c>
      <c r="E34" s="25" t="n">
        <v>870</v>
      </c>
      <c r="F34" s="30" t="n">
        <v>0.72</v>
      </c>
    </row>
    <row r="35" customFormat="false" ht="15" hidden="false" customHeight="false" outlineLevel="0" collapsed="false">
      <c r="A35" s="29" t="s">
        <v>126</v>
      </c>
      <c r="B35" s="29" t="s">
        <v>127</v>
      </c>
      <c r="C35" s="29" t="s">
        <v>41</v>
      </c>
      <c r="D35" s="29" t="s">
        <v>42</v>
      </c>
      <c r="E35" s="25" t="n">
        <v>890</v>
      </c>
      <c r="F35" s="30" t="n">
        <v>0.72</v>
      </c>
    </row>
    <row r="36" customFormat="false" ht="15" hidden="false" customHeight="false" outlineLevel="0" collapsed="false">
      <c r="A36" s="29" t="s">
        <v>167</v>
      </c>
      <c r="B36" s="29" t="s">
        <v>168</v>
      </c>
      <c r="C36" s="29" t="s">
        <v>41</v>
      </c>
      <c r="D36" s="29" t="s">
        <v>150</v>
      </c>
      <c r="E36" s="25" t="n">
        <v>1020</v>
      </c>
      <c r="F36" s="30" t="n">
        <v>0.7</v>
      </c>
    </row>
    <row r="37" customFormat="false" ht="15" hidden="false" customHeight="false" outlineLevel="0" collapsed="false">
      <c r="A37" s="29" t="s">
        <v>148</v>
      </c>
      <c r="B37" s="29" t="s">
        <v>149</v>
      </c>
      <c r="C37" s="29" t="s">
        <v>41</v>
      </c>
      <c r="D37" s="29" t="s">
        <v>150</v>
      </c>
      <c r="E37" s="25" t="n">
        <v>1060</v>
      </c>
      <c r="F37" s="30" t="n">
        <v>0.7</v>
      </c>
    </row>
    <row r="38" customFormat="false" ht="15" hidden="false" customHeight="false" outlineLevel="0" collapsed="false">
      <c r="A38" s="29" t="s">
        <v>194</v>
      </c>
      <c r="B38" s="29" t="s">
        <v>195</v>
      </c>
      <c r="C38" s="29" t="s">
        <v>41</v>
      </c>
      <c r="D38" s="29" t="s">
        <v>122</v>
      </c>
      <c r="E38" s="25" t="n">
        <v>980</v>
      </c>
      <c r="F38" s="30" t="n">
        <v>0.71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12" min="12" style="0" width="16"/>
    <col collapsed="false" customWidth="true" hidden="false" outlineLevel="0" max="14" min="13" style="0" width="12"/>
  </cols>
  <sheetData>
    <row r="1" customFormat="false" ht="15" hidden="false" customHeight="false" outlineLevel="0" collapsed="false">
      <c r="A1" s="31" t="s">
        <v>372</v>
      </c>
      <c r="B1" s="32" t="str">
        <f aca="false">IF(Dashboard!$D$4="All","*",Dashboard!$D$4)</f>
        <v>*</v>
      </c>
    </row>
    <row r="2" customFormat="false" ht="15" hidden="false" customHeight="false" outlineLevel="0" collapsed="false">
      <c r="A2" s="31" t="s">
        <v>373</v>
      </c>
      <c r="B2" s="32" t="str">
        <f aca="false">IF(Dashboard!$H$4="All","*",TEXT(Dashboard!$H$4,"0"))</f>
        <v>*</v>
      </c>
    </row>
    <row r="3" customFormat="false" ht="15" hidden="false" customHeight="false" outlineLevel="0" collapsed="false">
      <c r="A3" s="31" t="s">
        <v>374</v>
      </c>
      <c r="L3" s="31" t="s">
        <v>375</v>
      </c>
    </row>
    <row r="4" customFormat="false" ht="23.85" hidden="false" customHeight="false" outlineLevel="0" collapsed="false">
      <c r="A4" s="21" t="s">
        <v>16</v>
      </c>
      <c r="B4" s="21" t="s">
        <v>376</v>
      </c>
      <c r="C4" s="21" t="s">
        <v>25</v>
      </c>
      <c r="D4" s="21" t="s">
        <v>377</v>
      </c>
      <c r="E4" s="21" t="s">
        <v>378</v>
      </c>
      <c r="F4" s="21" t="s">
        <v>379</v>
      </c>
      <c r="G4" s="21" t="s">
        <v>380</v>
      </c>
      <c r="H4" s="21" t="s">
        <v>381</v>
      </c>
      <c r="I4" s="21" t="s">
        <v>382</v>
      </c>
      <c r="J4" s="21" t="s">
        <v>383</v>
      </c>
      <c r="L4" s="21" t="s">
        <v>16</v>
      </c>
      <c r="M4" s="21" t="s">
        <v>384</v>
      </c>
      <c r="N4" s="21" t="s">
        <v>385</v>
      </c>
    </row>
    <row r="5" customFormat="false" ht="15" hidden="false" customHeight="false" outlineLevel="0" collapsed="false">
      <c r="A5" s="33" t="n">
        <v>44927</v>
      </c>
      <c r="B5" s="34" t="n">
        <f aca="false">SUMIFS(Sales_Data!$N$2:$N$1500,Sales_Data!$C$2:$C$1500,$A5,Sales_Data!$E$2:$E$1500,$B$1,Sales_Data!$U$2:$U$1500,$B$2)/100000</f>
        <v>8.59625</v>
      </c>
      <c r="C5" s="35" t="n">
        <f aca="false">SUMIFS(Sales_Data!$L$2:$L$1500,Sales_Data!$C$2:$C$1500,$A5,Sales_Data!$E$2:$E$1500,$B$1,Sales_Data!$U$2:$U$1500,$B$2)</f>
        <v>1125</v>
      </c>
      <c r="D5" s="34" t="n">
        <f aca="false">SUMIFS(Sales_Data!$P$2:$P$1500,Sales_Data!$C$2:$C$1500,$A5,Sales_Data!$E$2:$E$1500,$B$1,Sales_Data!$U$2:$U$1500,$B$2)/100000</f>
        <v>2.07875</v>
      </c>
      <c r="E5" s="36" t="n">
        <f aca="false">IF(B5=0,NA(),D5/B5)</f>
        <v>0.241820561291261</v>
      </c>
      <c r="F5" s="37" t="n">
        <v>1230</v>
      </c>
      <c r="G5" s="38" t="n">
        <f aca="false">COUNTIFS(Sales_Data!$C$2:$C$1500,$A5,Sales_Data!$E$2:$E$1500,$B$1,Sales_Data!$U$2:$U$1500,$B$2)</f>
        <v>10</v>
      </c>
      <c r="H5" s="35" t="n">
        <f aca="false">SUMIFS(Sales_Data!$L$2:$L$1500,Sales_Data!$C$2:$C$1500,$A5)</f>
        <v>1125</v>
      </c>
      <c r="I5" s="35" t="n">
        <f aca="false">IF(OR(Dashboard!$H$4="All",YEAR($A5)=Dashboard!$H$4),F5,NA())</f>
        <v>1230</v>
      </c>
      <c r="J5" s="35" t="n">
        <f aca="false">IF(OR(Dashboard!$H$4="All",YEAR($A5)=Dashboard!$H$4),H5,NA())</f>
        <v>1125</v>
      </c>
      <c r="L5" s="38" t="s">
        <v>386</v>
      </c>
      <c r="M5" s="34" t="n">
        <f aca="false">SUMIFS(Sales_Data!$N$2:$N$1500,Sales_Data!$C$2:$C$1500,DATE(2023,1,1),Sales_Data!$E$2:$E$1500,$B$1)/100000</f>
        <v>8.59625</v>
      </c>
      <c r="N5" s="34" t="n">
        <f aca="false">SUMIFS(Sales_Data!$N$2:$N$1500,Sales_Data!$C$2:$C$1500,DATE(2024,1,1),Sales_Data!$E$2:$E$1500,$B$1)/100000</f>
        <v>15.8225</v>
      </c>
    </row>
    <row r="6" customFormat="false" ht="15" hidden="false" customHeight="false" outlineLevel="0" collapsed="false">
      <c r="A6" s="33" t="n">
        <v>44958</v>
      </c>
      <c r="B6" s="34" t="n">
        <f aca="false">SUMIFS(Sales_Data!$N$2:$N$1500,Sales_Data!$C$2:$C$1500,$A6,Sales_Data!$E$2:$E$1500,$B$1,Sales_Data!$U$2:$U$1500,$B$2)/100000</f>
        <v>14.42</v>
      </c>
      <c r="C6" s="35" t="n">
        <f aca="false">SUMIFS(Sales_Data!$L$2:$L$1500,Sales_Data!$C$2:$C$1500,$A6,Sales_Data!$E$2:$E$1500,$B$1,Sales_Data!$U$2:$U$1500,$B$2)</f>
        <v>1750</v>
      </c>
      <c r="D6" s="34" t="n">
        <f aca="false">SUMIFS(Sales_Data!$P$2:$P$1500,Sales_Data!$C$2:$C$1500,$A6,Sales_Data!$E$2:$E$1500,$B$1,Sales_Data!$U$2:$U$1500,$B$2)/100000</f>
        <v>3.6025</v>
      </c>
      <c r="E6" s="36" t="n">
        <f aca="false">IF(B6=0,NA(),D6/B6)</f>
        <v>0.249826629680999</v>
      </c>
      <c r="F6" s="37" t="n">
        <v>1890</v>
      </c>
      <c r="G6" s="38" t="n">
        <f aca="false">COUNTIFS(Sales_Data!$C$2:$C$1500,$A6,Sales_Data!$E$2:$E$1500,$B$1,Sales_Data!$U$2:$U$1500,$B$2)</f>
        <v>13</v>
      </c>
      <c r="H6" s="35" t="n">
        <f aca="false">SUMIFS(Sales_Data!$L$2:$L$1500,Sales_Data!$C$2:$C$1500,$A6)</f>
        <v>1750</v>
      </c>
      <c r="I6" s="35" t="n">
        <f aca="false">IF(OR(Dashboard!$H$4="All",YEAR($A6)=Dashboard!$H$4),F6,NA())</f>
        <v>1890</v>
      </c>
      <c r="J6" s="35" t="n">
        <f aca="false">IF(OR(Dashboard!$H$4="All",YEAR($A6)=Dashboard!$H$4),H6,NA())</f>
        <v>1750</v>
      </c>
      <c r="L6" s="38" t="s">
        <v>387</v>
      </c>
      <c r="M6" s="34" t="n">
        <f aca="false">SUMIFS(Sales_Data!$N$2:$N$1500,Sales_Data!$C$2:$C$1500,DATE(2023,2,1),Sales_Data!$E$2:$E$1500,$B$1)/100000</f>
        <v>14.42</v>
      </c>
      <c r="N6" s="34" t="n">
        <f aca="false">SUMIFS(Sales_Data!$N$2:$N$1500,Sales_Data!$C$2:$C$1500,DATE(2024,2,1),Sales_Data!$E$2:$E$1500,$B$1)/100000</f>
        <v>13.4825</v>
      </c>
    </row>
    <row r="7" customFormat="false" ht="15" hidden="false" customHeight="false" outlineLevel="0" collapsed="false">
      <c r="A7" s="33" t="n">
        <v>44986</v>
      </c>
      <c r="B7" s="34" t="n">
        <f aca="false">SUMIFS(Sales_Data!$N$2:$N$1500,Sales_Data!$C$2:$C$1500,$A7,Sales_Data!$E$2:$E$1500,$B$1,Sales_Data!$U$2:$U$1500,$B$2)/100000</f>
        <v>13.94625</v>
      </c>
      <c r="C7" s="35" t="n">
        <f aca="false">SUMIFS(Sales_Data!$L$2:$L$1500,Sales_Data!$C$2:$C$1500,$A7,Sales_Data!$E$2:$E$1500,$B$1,Sales_Data!$U$2:$U$1500,$B$2)</f>
        <v>1875</v>
      </c>
      <c r="D7" s="34" t="n">
        <f aca="false">SUMIFS(Sales_Data!$P$2:$P$1500,Sales_Data!$C$2:$C$1500,$A7,Sales_Data!$E$2:$E$1500,$B$1,Sales_Data!$U$2:$U$1500,$B$2)/100000</f>
        <v>3.25725</v>
      </c>
      <c r="E7" s="36" t="n">
        <f aca="false">IF(B7=0,NA(),D7/B7)</f>
        <v>0.233557407905351</v>
      </c>
      <c r="F7" s="37" t="n">
        <v>1790</v>
      </c>
      <c r="G7" s="38" t="n">
        <f aca="false">COUNTIFS(Sales_Data!$C$2:$C$1500,$A7,Sales_Data!$E$2:$E$1500,$B$1,Sales_Data!$U$2:$U$1500,$B$2)</f>
        <v>13</v>
      </c>
      <c r="H7" s="35" t="n">
        <f aca="false">SUMIFS(Sales_Data!$L$2:$L$1500,Sales_Data!$C$2:$C$1500,$A7)</f>
        <v>1875</v>
      </c>
      <c r="I7" s="35" t="n">
        <f aca="false">IF(OR(Dashboard!$H$4="All",YEAR($A7)=Dashboard!$H$4),F7,NA())</f>
        <v>1790</v>
      </c>
      <c r="J7" s="35" t="n">
        <f aca="false">IF(OR(Dashboard!$H$4="All",YEAR($A7)=Dashboard!$H$4),H7,NA())</f>
        <v>1875</v>
      </c>
      <c r="L7" s="38" t="s">
        <v>388</v>
      </c>
      <c r="M7" s="34" t="n">
        <f aca="false">SUMIFS(Sales_Data!$N$2:$N$1500,Sales_Data!$C$2:$C$1500,DATE(2023,3,1),Sales_Data!$E$2:$E$1500,$B$1)/100000</f>
        <v>13.94625</v>
      </c>
      <c r="N7" s="34" t="n">
        <f aca="false">SUMIFS(Sales_Data!$N$2:$N$1500,Sales_Data!$C$2:$C$1500,DATE(2024,3,1),Sales_Data!$E$2:$E$1500,$B$1)/100000</f>
        <v>15.82625</v>
      </c>
    </row>
    <row r="8" customFormat="false" ht="15" hidden="false" customHeight="false" outlineLevel="0" collapsed="false">
      <c r="A8" s="33" t="n">
        <v>45017</v>
      </c>
      <c r="B8" s="34" t="n">
        <f aca="false">SUMIFS(Sales_Data!$N$2:$N$1500,Sales_Data!$C$2:$C$1500,$A8,Sales_Data!$E$2:$E$1500,$B$1,Sales_Data!$U$2:$U$1500,$B$2)/100000</f>
        <v>6.72</v>
      </c>
      <c r="C8" s="35" t="n">
        <f aca="false">SUMIFS(Sales_Data!$L$2:$L$1500,Sales_Data!$C$2:$C$1500,$A8,Sales_Data!$E$2:$E$1500,$B$1,Sales_Data!$U$2:$U$1500,$B$2)</f>
        <v>700</v>
      </c>
      <c r="D8" s="34" t="n">
        <f aca="false">SUMIFS(Sales_Data!$P$2:$P$1500,Sales_Data!$C$2:$C$1500,$A8,Sales_Data!$E$2:$E$1500,$B$1,Sales_Data!$U$2:$U$1500,$B$2)/100000</f>
        <v>1.951</v>
      </c>
      <c r="E8" s="36" t="n">
        <f aca="false">IF(B8=0,NA(),D8/B8)</f>
        <v>0.290327380952381</v>
      </c>
      <c r="F8" s="37" t="n">
        <v>710</v>
      </c>
      <c r="G8" s="38" t="n">
        <f aca="false">COUNTIFS(Sales_Data!$C$2:$C$1500,$A8,Sales_Data!$E$2:$E$1500,$B$1,Sales_Data!$U$2:$U$1500,$B$2)</f>
        <v>9</v>
      </c>
      <c r="H8" s="35" t="n">
        <f aca="false">SUMIFS(Sales_Data!$L$2:$L$1500,Sales_Data!$C$2:$C$1500,$A8)</f>
        <v>700</v>
      </c>
      <c r="I8" s="35" t="n">
        <f aca="false">IF(OR(Dashboard!$H$4="All",YEAR($A8)=Dashboard!$H$4),F8,NA())</f>
        <v>710</v>
      </c>
      <c r="J8" s="35" t="n">
        <f aca="false">IF(OR(Dashboard!$H$4="All",YEAR($A8)=Dashboard!$H$4),H8,NA())</f>
        <v>700</v>
      </c>
      <c r="L8" s="38" t="s">
        <v>389</v>
      </c>
      <c r="M8" s="34" t="n">
        <f aca="false">SUMIFS(Sales_Data!$N$2:$N$1500,Sales_Data!$C$2:$C$1500,DATE(2023,4,1),Sales_Data!$E$2:$E$1500,$B$1)/100000</f>
        <v>6.72</v>
      </c>
      <c r="N8" s="34" t="n">
        <f aca="false">SUMIFS(Sales_Data!$N$2:$N$1500,Sales_Data!$C$2:$C$1500,DATE(2024,4,1),Sales_Data!$E$2:$E$1500,$B$1)/100000</f>
        <v>14.6875</v>
      </c>
    </row>
    <row r="9" customFormat="false" ht="15" hidden="false" customHeight="false" outlineLevel="0" collapsed="false">
      <c r="A9" s="33" t="n">
        <v>45047</v>
      </c>
      <c r="B9" s="34" t="n">
        <f aca="false">SUMIFS(Sales_Data!$N$2:$N$1500,Sales_Data!$C$2:$C$1500,$A9,Sales_Data!$E$2:$E$1500,$B$1,Sales_Data!$U$2:$U$1500,$B$2)/100000</f>
        <v>9.80625</v>
      </c>
      <c r="C9" s="35" t="n">
        <f aca="false">SUMIFS(Sales_Data!$L$2:$L$1500,Sales_Data!$C$2:$C$1500,$A9,Sales_Data!$E$2:$E$1500,$B$1,Sales_Data!$U$2:$U$1500,$B$2)</f>
        <v>1300</v>
      </c>
      <c r="D9" s="34" t="n">
        <f aca="false">SUMIFS(Sales_Data!$P$2:$P$1500,Sales_Data!$C$2:$C$1500,$A9,Sales_Data!$E$2:$E$1500,$B$1,Sales_Data!$U$2:$U$1500,$B$2)/100000</f>
        <v>2.30575</v>
      </c>
      <c r="E9" s="36" t="n">
        <f aca="false">IF(B9=0,NA(),D9/B9)</f>
        <v>0.235130656469089</v>
      </c>
      <c r="F9" s="37" t="n">
        <v>1320</v>
      </c>
      <c r="G9" s="38" t="n">
        <f aca="false">COUNTIFS(Sales_Data!$C$2:$C$1500,$A9,Sales_Data!$E$2:$E$1500,$B$1,Sales_Data!$U$2:$U$1500,$B$2)</f>
        <v>10</v>
      </c>
      <c r="H9" s="35" t="n">
        <f aca="false">SUMIFS(Sales_Data!$L$2:$L$1500,Sales_Data!$C$2:$C$1500,$A9)</f>
        <v>1300</v>
      </c>
      <c r="I9" s="35" t="n">
        <f aca="false">IF(OR(Dashboard!$H$4="All",YEAR($A9)=Dashboard!$H$4),F9,NA())</f>
        <v>1320</v>
      </c>
      <c r="J9" s="35" t="n">
        <f aca="false">IF(OR(Dashboard!$H$4="All",YEAR($A9)=Dashboard!$H$4),H9,NA())</f>
        <v>1300</v>
      </c>
      <c r="L9" s="38" t="s">
        <v>390</v>
      </c>
      <c r="M9" s="34" t="n">
        <f aca="false">SUMIFS(Sales_Data!$N$2:$N$1500,Sales_Data!$C$2:$C$1500,DATE(2023,5,1),Sales_Data!$E$2:$E$1500,$B$1)/100000</f>
        <v>9.80625</v>
      </c>
      <c r="N9" s="34" t="n">
        <f aca="false">SUMIFS(Sales_Data!$N$2:$N$1500,Sales_Data!$C$2:$C$1500,DATE(2024,5,1),Sales_Data!$E$2:$E$1500,$B$1)/100000</f>
        <v>8.86</v>
      </c>
    </row>
    <row r="10" customFormat="false" ht="15" hidden="false" customHeight="false" outlineLevel="0" collapsed="false">
      <c r="A10" s="33" t="n">
        <v>45078</v>
      </c>
      <c r="B10" s="34" t="n">
        <f aca="false">SUMIFS(Sales_Data!$N$2:$N$1500,Sales_Data!$C$2:$C$1500,$A10,Sales_Data!$E$2:$E$1500,$B$1,Sales_Data!$U$2:$U$1500,$B$2)/100000</f>
        <v>13.135</v>
      </c>
      <c r="C10" s="35" t="n">
        <f aca="false">SUMIFS(Sales_Data!$L$2:$L$1500,Sales_Data!$C$2:$C$1500,$A10,Sales_Data!$E$2:$E$1500,$B$1,Sales_Data!$U$2:$U$1500,$B$2)</f>
        <v>1400</v>
      </c>
      <c r="D10" s="34" t="n">
        <f aca="false">SUMIFS(Sales_Data!$P$2:$P$1500,Sales_Data!$C$2:$C$1500,$A10,Sales_Data!$E$2:$E$1500,$B$1,Sales_Data!$U$2:$U$1500,$B$2)/100000</f>
        <v>3.408</v>
      </c>
      <c r="E10" s="36" t="n">
        <f aca="false">IF(B10=0,NA(),D10/B10)</f>
        <v>0.25945945945946</v>
      </c>
      <c r="F10" s="37" t="n">
        <v>1280</v>
      </c>
      <c r="G10" s="38" t="n">
        <f aca="false">COUNTIFS(Sales_Data!$C$2:$C$1500,$A10,Sales_Data!$E$2:$E$1500,$B$1,Sales_Data!$U$2:$U$1500,$B$2)</f>
        <v>9</v>
      </c>
      <c r="H10" s="35" t="n">
        <f aca="false">SUMIFS(Sales_Data!$L$2:$L$1500,Sales_Data!$C$2:$C$1500,$A10)</f>
        <v>1400</v>
      </c>
      <c r="I10" s="35" t="n">
        <f aca="false">IF(OR(Dashboard!$H$4="All",YEAR($A10)=Dashboard!$H$4),F10,NA())</f>
        <v>1280</v>
      </c>
      <c r="J10" s="35" t="n">
        <f aca="false">IF(OR(Dashboard!$H$4="All",YEAR($A10)=Dashboard!$H$4),H10,NA())</f>
        <v>1400</v>
      </c>
      <c r="L10" s="38" t="s">
        <v>391</v>
      </c>
      <c r="M10" s="34" t="n">
        <f aca="false">SUMIFS(Sales_Data!$N$2:$N$1500,Sales_Data!$C$2:$C$1500,DATE(2023,6,1),Sales_Data!$E$2:$E$1500,$B$1)/100000</f>
        <v>13.135</v>
      </c>
      <c r="N10" s="34" t="n">
        <f aca="false">SUMIFS(Sales_Data!$N$2:$N$1500,Sales_Data!$C$2:$C$1500,DATE(2024,6,1),Sales_Data!$E$2:$E$1500,$B$1)/100000</f>
        <v>6.2625</v>
      </c>
    </row>
    <row r="11" customFormat="false" ht="15" hidden="false" customHeight="false" outlineLevel="0" collapsed="false">
      <c r="A11" s="33" t="n">
        <v>45108</v>
      </c>
      <c r="B11" s="34" t="n">
        <f aca="false">SUMIFS(Sales_Data!$N$2:$N$1500,Sales_Data!$C$2:$C$1500,$A11,Sales_Data!$E$2:$E$1500,$B$1,Sales_Data!$U$2:$U$1500,$B$2)/100000</f>
        <v>6.715</v>
      </c>
      <c r="C11" s="35" t="n">
        <f aca="false">SUMIFS(Sales_Data!$L$2:$L$1500,Sales_Data!$C$2:$C$1500,$A11,Sales_Data!$E$2:$E$1500,$B$1,Sales_Data!$U$2:$U$1500,$B$2)</f>
        <v>650</v>
      </c>
      <c r="D11" s="34" t="n">
        <f aca="false">SUMIFS(Sales_Data!$P$2:$P$1500,Sales_Data!$C$2:$C$1500,$A11,Sales_Data!$E$2:$E$1500,$B$1,Sales_Data!$U$2:$U$1500,$B$2)/100000</f>
        <v>2.0015</v>
      </c>
      <c r="E11" s="36" t="n">
        <f aca="false">IF(B11=0,NA(),D11/B11)</f>
        <v>0.298064035740879</v>
      </c>
      <c r="F11" s="37" t="n">
        <v>640</v>
      </c>
      <c r="G11" s="38" t="n">
        <f aca="false">COUNTIFS(Sales_Data!$C$2:$C$1500,$A11,Sales_Data!$E$2:$E$1500,$B$1,Sales_Data!$U$2:$U$1500,$B$2)</f>
        <v>8</v>
      </c>
      <c r="H11" s="35" t="n">
        <f aca="false">SUMIFS(Sales_Data!$L$2:$L$1500,Sales_Data!$C$2:$C$1500,$A11)</f>
        <v>650</v>
      </c>
      <c r="I11" s="35" t="n">
        <f aca="false">IF(OR(Dashboard!$H$4="All",YEAR($A11)=Dashboard!$H$4),F11,NA())</f>
        <v>640</v>
      </c>
      <c r="J11" s="35" t="n">
        <f aca="false">IF(OR(Dashboard!$H$4="All",YEAR($A11)=Dashboard!$H$4),H11,NA())</f>
        <v>650</v>
      </c>
      <c r="L11" s="38" t="s">
        <v>392</v>
      </c>
      <c r="M11" s="34" t="n">
        <f aca="false">SUMIFS(Sales_Data!$N$2:$N$1500,Sales_Data!$C$2:$C$1500,DATE(2023,7,1),Sales_Data!$E$2:$E$1500,$B$1)/100000</f>
        <v>6.715</v>
      </c>
      <c r="N11" s="34" t="n">
        <f aca="false">SUMIFS(Sales_Data!$N$2:$N$1500,Sales_Data!$C$2:$C$1500,DATE(2024,7,1),Sales_Data!$E$2:$E$1500,$B$1)/100000</f>
        <v>0</v>
      </c>
    </row>
    <row r="12" customFormat="false" ht="15" hidden="false" customHeight="false" outlineLevel="0" collapsed="false">
      <c r="A12" s="33" t="n">
        <v>45139</v>
      </c>
      <c r="B12" s="34" t="n">
        <f aca="false">SUMIFS(Sales_Data!$N$2:$N$1500,Sales_Data!$C$2:$C$1500,$A12,Sales_Data!$E$2:$E$1500,$B$1,Sales_Data!$U$2:$U$1500,$B$2)/100000</f>
        <v>8.5925</v>
      </c>
      <c r="C12" s="35" t="n">
        <f aca="false">SUMIFS(Sales_Data!$L$2:$L$1500,Sales_Data!$C$2:$C$1500,$A12,Sales_Data!$E$2:$E$1500,$B$1,Sales_Data!$U$2:$U$1500,$B$2)</f>
        <v>1050</v>
      </c>
      <c r="D12" s="34" t="n">
        <f aca="false">SUMIFS(Sales_Data!$P$2:$P$1500,Sales_Data!$C$2:$C$1500,$A12,Sales_Data!$E$2:$E$1500,$B$1,Sales_Data!$U$2:$U$1500,$B$2)/100000</f>
        <v>2.261</v>
      </c>
      <c r="E12" s="36" t="n">
        <f aca="false">IF(B12=0,NA(),D12/B12)</f>
        <v>0.263136456211813</v>
      </c>
      <c r="F12" s="37" t="n">
        <v>1000</v>
      </c>
      <c r="G12" s="38" t="n">
        <f aca="false">COUNTIFS(Sales_Data!$C$2:$C$1500,$A12,Sales_Data!$E$2:$E$1500,$B$1,Sales_Data!$U$2:$U$1500,$B$2)</f>
        <v>9</v>
      </c>
      <c r="H12" s="35" t="n">
        <f aca="false">SUMIFS(Sales_Data!$L$2:$L$1500,Sales_Data!$C$2:$C$1500,$A12)</f>
        <v>1050</v>
      </c>
      <c r="I12" s="35" t="n">
        <f aca="false">IF(OR(Dashboard!$H$4="All",YEAR($A12)=Dashboard!$H$4),F12,NA())</f>
        <v>1000</v>
      </c>
      <c r="J12" s="35" t="n">
        <f aca="false">IF(OR(Dashboard!$H$4="All",YEAR($A12)=Dashboard!$H$4),H12,NA())</f>
        <v>1050</v>
      </c>
      <c r="L12" s="38" t="s">
        <v>393</v>
      </c>
      <c r="M12" s="34" t="n">
        <f aca="false">SUMIFS(Sales_Data!$N$2:$N$1500,Sales_Data!$C$2:$C$1500,DATE(2023,8,1),Sales_Data!$E$2:$E$1500,$B$1)/100000</f>
        <v>8.5925</v>
      </c>
      <c r="N12" s="34" t="n">
        <f aca="false">SUMIFS(Sales_Data!$N$2:$N$1500,Sales_Data!$C$2:$C$1500,DATE(2024,8,1),Sales_Data!$E$2:$E$1500,$B$1)/100000</f>
        <v>0</v>
      </c>
    </row>
    <row r="13" customFormat="false" ht="15" hidden="false" customHeight="false" outlineLevel="0" collapsed="false">
      <c r="A13" s="33" t="n">
        <v>45170</v>
      </c>
      <c r="B13" s="34" t="n">
        <f aca="false">SUMIFS(Sales_Data!$N$2:$N$1500,Sales_Data!$C$2:$C$1500,$A13,Sales_Data!$E$2:$E$1500,$B$1,Sales_Data!$U$2:$U$1500,$B$2)/100000</f>
        <v>14.37375</v>
      </c>
      <c r="C13" s="35" t="n">
        <f aca="false">SUMIFS(Sales_Data!$L$2:$L$1500,Sales_Data!$C$2:$C$1500,$A13,Sales_Data!$E$2:$E$1500,$B$1,Sales_Data!$U$2:$U$1500,$B$2)</f>
        <v>1475</v>
      </c>
      <c r="D13" s="34" t="n">
        <f aca="false">SUMIFS(Sales_Data!$P$2:$P$1500,Sales_Data!$C$2:$C$1500,$A13,Sales_Data!$E$2:$E$1500,$B$1,Sales_Data!$U$2:$U$1500,$B$2)/100000</f>
        <v>4.14125</v>
      </c>
      <c r="E13" s="36" t="n">
        <f aca="false">IF(B13=0,NA(),D13/B13)</f>
        <v>0.288112009739977</v>
      </c>
      <c r="F13" s="37" t="n">
        <v>1580</v>
      </c>
      <c r="G13" s="38" t="n">
        <f aca="false">COUNTIFS(Sales_Data!$C$2:$C$1500,$A13,Sales_Data!$E$2:$E$1500,$B$1,Sales_Data!$U$2:$U$1500,$B$2)</f>
        <v>10</v>
      </c>
      <c r="H13" s="35" t="n">
        <f aca="false">SUMIFS(Sales_Data!$L$2:$L$1500,Sales_Data!$C$2:$C$1500,$A13)</f>
        <v>1475</v>
      </c>
      <c r="I13" s="35" t="n">
        <f aca="false">IF(OR(Dashboard!$H$4="All",YEAR($A13)=Dashboard!$H$4),F13,NA())</f>
        <v>1580</v>
      </c>
      <c r="J13" s="35" t="n">
        <f aca="false">IF(OR(Dashboard!$H$4="All",YEAR($A13)=Dashboard!$H$4),H13,NA())</f>
        <v>1475</v>
      </c>
      <c r="L13" s="38" t="s">
        <v>394</v>
      </c>
      <c r="M13" s="34" t="n">
        <f aca="false">SUMIFS(Sales_Data!$N$2:$N$1500,Sales_Data!$C$2:$C$1500,DATE(2023,9,1),Sales_Data!$E$2:$E$1500,$B$1)/100000</f>
        <v>14.37375</v>
      </c>
      <c r="N13" s="34" t="n">
        <f aca="false">SUMIFS(Sales_Data!$N$2:$N$1500,Sales_Data!$C$2:$C$1500,DATE(2024,9,1),Sales_Data!$E$2:$E$1500,$B$1)/100000</f>
        <v>0</v>
      </c>
    </row>
    <row r="14" customFormat="false" ht="15" hidden="false" customHeight="false" outlineLevel="0" collapsed="false">
      <c r="A14" s="33" t="n">
        <v>45200</v>
      </c>
      <c r="B14" s="34" t="n">
        <f aca="false">SUMIFS(Sales_Data!$N$2:$N$1500,Sales_Data!$C$2:$C$1500,$A14,Sales_Data!$E$2:$E$1500,$B$1,Sales_Data!$U$2:$U$1500,$B$2)/100000</f>
        <v>21.97875</v>
      </c>
      <c r="C14" s="35" t="n">
        <f aca="false">SUMIFS(Sales_Data!$L$2:$L$1500,Sales_Data!$C$2:$C$1500,$A14,Sales_Data!$E$2:$E$1500,$B$1,Sales_Data!$U$2:$U$1500,$B$2)</f>
        <v>2150</v>
      </c>
      <c r="D14" s="34" t="n">
        <f aca="false">SUMIFS(Sales_Data!$P$2:$P$1500,Sales_Data!$C$2:$C$1500,$A14,Sales_Data!$E$2:$E$1500,$B$1,Sales_Data!$U$2:$U$1500,$B$2)/100000</f>
        <v>6.07875</v>
      </c>
      <c r="E14" s="36" t="n">
        <f aca="false">IF(B14=0,NA(),D14/B14)</f>
        <v>0.27657396348746</v>
      </c>
      <c r="F14" s="37" t="n">
        <v>2060</v>
      </c>
      <c r="G14" s="38" t="n">
        <f aca="false">COUNTIFS(Sales_Data!$C$2:$C$1500,$A14,Sales_Data!$E$2:$E$1500,$B$1,Sales_Data!$U$2:$U$1500,$B$2)</f>
        <v>13</v>
      </c>
      <c r="H14" s="35" t="n">
        <f aca="false">SUMIFS(Sales_Data!$L$2:$L$1500,Sales_Data!$C$2:$C$1500,$A14)</f>
        <v>2150</v>
      </c>
      <c r="I14" s="35" t="n">
        <f aca="false">IF(OR(Dashboard!$H$4="All",YEAR($A14)=Dashboard!$H$4),F14,NA())</f>
        <v>2060</v>
      </c>
      <c r="J14" s="35" t="n">
        <f aca="false">IF(OR(Dashboard!$H$4="All",YEAR($A14)=Dashboard!$H$4),H14,NA())</f>
        <v>2150</v>
      </c>
      <c r="L14" s="38" t="s">
        <v>395</v>
      </c>
      <c r="M14" s="34" t="n">
        <f aca="false">SUMIFS(Sales_Data!$N$2:$N$1500,Sales_Data!$C$2:$C$1500,DATE(2023,10,1),Sales_Data!$E$2:$E$1500,$B$1)/100000</f>
        <v>21.97875</v>
      </c>
      <c r="N14" s="34" t="n">
        <f aca="false">SUMIFS(Sales_Data!$N$2:$N$1500,Sales_Data!$C$2:$C$1500,DATE(2024,10,1),Sales_Data!$E$2:$E$1500,$B$1)/100000</f>
        <v>0</v>
      </c>
    </row>
    <row r="15" customFormat="false" ht="15" hidden="false" customHeight="false" outlineLevel="0" collapsed="false">
      <c r="A15" s="33" t="n">
        <v>45231</v>
      </c>
      <c r="B15" s="34" t="n">
        <f aca="false">SUMIFS(Sales_Data!$N$2:$N$1500,Sales_Data!$C$2:$C$1500,$A15,Sales_Data!$E$2:$E$1500,$B$1,Sales_Data!$U$2:$U$1500,$B$2)/100000</f>
        <v>18.32375</v>
      </c>
      <c r="C15" s="35" t="n">
        <f aca="false">SUMIFS(Sales_Data!$L$2:$L$1500,Sales_Data!$C$2:$C$1500,$A15,Sales_Data!$E$2:$E$1500,$B$1,Sales_Data!$U$2:$U$1500,$B$2)</f>
        <v>1875</v>
      </c>
      <c r="D15" s="34" t="n">
        <f aca="false">SUMIFS(Sales_Data!$P$2:$P$1500,Sales_Data!$C$2:$C$1500,$A15,Sales_Data!$E$2:$E$1500,$B$1,Sales_Data!$U$2:$U$1500,$B$2)/100000</f>
        <v>5.169</v>
      </c>
      <c r="E15" s="36" t="n">
        <f aca="false">IF(B15=0,NA(),D15/B15)</f>
        <v>0.282092912204107</v>
      </c>
      <c r="F15" s="37" t="n">
        <v>1730</v>
      </c>
      <c r="G15" s="38" t="n">
        <f aca="false">COUNTIFS(Sales_Data!$C$2:$C$1500,$A15,Sales_Data!$E$2:$E$1500,$B$1,Sales_Data!$U$2:$U$1500,$B$2)</f>
        <v>14</v>
      </c>
      <c r="H15" s="35" t="n">
        <f aca="false">SUMIFS(Sales_Data!$L$2:$L$1500,Sales_Data!$C$2:$C$1500,$A15)</f>
        <v>1875</v>
      </c>
      <c r="I15" s="35" t="n">
        <f aca="false">IF(OR(Dashboard!$H$4="All",YEAR($A15)=Dashboard!$H$4),F15,NA())</f>
        <v>1730</v>
      </c>
      <c r="J15" s="35" t="n">
        <f aca="false">IF(OR(Dashboard!$H$4="All",YEAR($A15)=Dashboard!$H$4),H15,NA())</f>
        <v>1875</v>
      </c>
      <c r="L15" s="38" t="s">
        <v>396</v>
      </c>
      <c r="M15" s="34" t="n">
        <f aca="false">SUMIFS(Sales_Data!$N$2:$N$1500,Sales_Data!$C$2:$C$1500,DATE(2023,11,1),Sales_Data!$E$2:$E$1500,$B$1)/100000</f>
        <v>18.32375</v>
      </c>
      <c r="N15" s="34" t="n">
        <f aca="false">SUMIFS(Sales_Data!$N$2:$N$1500,Sales_Data!$C$2:$C$1500,DATE(2024,11,1),Sales_Data!$E$2:$E$1500,$B$1)/100000</f>
        <v>0</v>
      </c>
    </row>
    <row r="16" customFormat="false" ht="15" hidden="false" customHeight="false" outlineLevel="0" collapsed="false">
      <c r="A16" s="33" t="n">
        <v>45261</v>
      </c>
      <c r="B16" s="34" t="n">
        <f aca="false">SUMIFS(Sales_Data!$N$2:$N$1500,Sales_Data!$C$2:$C$1500,$A16,Sales_Data!$E$2:$E$1500,$B$1,Sales_Data!$U$2:$U$1500,$B$2)/100000</f>
        <v>8.795</v>
      </c>
      <c r="C16" s="35" t="n">
        <f aca="false">SUMIFS(Sales_Data!$L$2:$L$1500,Sales_Data!$C$2:$C$1500,$A16,Sales_Data!$E$2:$E$1500,$B$1,Sales_Data!$U$2:$U$1500,$B$2)</f>
        <v>950</v>
      </c>
      <c r="D16" s="34" t="n">
        <f aca="false">SUMIFS(Sales_Data!$P$2:$P$1500,Sales_Data!$C$2:$C$1500,$A16,Sales_Data!$E$2:$E$1500,$B$1,Sales_Data!$U$2:$U$1500,$B$2)/100000</f>
        <v>2.4575</v>
      </c>
      <c r="E16" s="36" t="n">
        <f aca="false">IF(B16=0,NA(),D16/B16)</f>
        <v>0.279420125071063</v>
      </c>
      <c r="F16" s="37" t="n">
        <v>1040</v>
      </c>
      <c r="G16" s="38" t="n">
        <f aca="false">COUNTIFS(Sales_Data!$C$2:$C$1500,$A16,Sales_Data!$E$2:$E$1500,$B$1,Sales_Data!$U$2:$U$1500,$B$2)</f>
        <v>13</v>
      </c>
      <c r="H16" s="35" t="n">
        <f aca="false">SUMIFS(Sales_Data!$L$2:$L$1500,Sales_Data!$C$2:$C$1500,$A16)</f>
        <v>950</v>
      </c>
      <c r="I16" s="35" t="n">
        <f aca="false">IF(OR(Dashboard!$H$4="All",YEAR($A16)=Dashboard!$H$4),F16,NA())</f>
        <v>1040</v>
      </c>
      <c r="J16" s="35" t="n">
        <f aca="false">IF(OR(Dashboard!$H$4="All",YEAR($A16)=Dashboard!$H$4),H16,NA())</f>
        <v>950</v>
      </c>
      <c r="L16" s="38" t="s">
        <v>397</v>
      </c>
      <c r="M16" s="34" t="n">
        <f aca="false">SUMIFS(Sales_Data!$N$2:$N$1500,Sales_Data!$C$2:$C$1500,DATE(2023,12,1),Sales_Data!$E$2:$E$1500,$B$1)/100000</f>
        <v>8.795</v>
      </c>
      <c r="N16" s="34" t="n">
        <f aca="false">SUMIFS(Sales_Data!$N$2:$N$1500,Sales_Data!$C$2:$C$1500,DATE(2024,12,1),Sales_Data!$E$2:$E$1500,$B$1)/100000</f>
        <v>0</v>
      </c>
    </row>
    <row r="17" customFormat="false" ht="15" hidden="false" customHeight="false" outlineLevel="0" collapsed="false">
      <c r="A17" s="33" t="n">
        <v>45292</v>
      </c>
      <c r="B17" s="34" t="n">
        <f aca="false">SUMIFS(Sales_Data!$N$2:$N$1500,Sales_Data!$C$2:$C$1500,$A17,Sales_Data!$E$2:$E$1500,$B$1,Sales_Data!$U$2:$U$1500,$B$2)/100000</f>
        <v>15.8225</v>
      </c>
      <c r="C17" s="35" t="n">
        <f aca="false">SUMIFS(Sales_Data!$L$2:$L$1500,Sales_Data!$C$2:$C$1500,$A17,Sales_Data!$E$2:$E$1500,$B$1,Sales_Data!$U$2:$U$1500,$B$2)</f>
        <v>1525</v>
      </c>
      <c r="D17" s="34" t="n">
        <f aca="false">SUMIFS(Sales_Data!$P$2:$P$1500,Sales_Data!$C$2:$C$1500,$A17,Sales_Data!$E$2:$E$1500,$B$1,Sales_Data!$U$2:$U$1500,$B$2)/100000</f>
        <v>4.547</v>
      </c>
      <c r="E17" s="36" t="n">
        <f aca="false">IF(B17=0,NA(),D17/B17)</f>
        <v>0.28737557276031</v>
      </c>
      <c r="F17" s="37" t="n">
        <v>1690</v>
      </c>
      <c r="G17" s="38" t="n">
        <f aca="false">COUNTIFS(Sales_Data!$C$2:$C$1500,$A17,Sales_Data!$E$2:$E$1500,$B$1,Sales_Data!$U$2:$U$1500,$B$2)</f>
        <v>13</v>
      </c>
      <c r="H17" s="35" t="n">
        <f aca="false">SUMIFS(Sales_Data!$L$2:$L$1500,Sales_Data!$C$2:$C$1500,$A17)</f>
        <v>1525</v>
      </c>
      <c r="I17" s="35" t="n">
        <f aca="false">IF(OR(Dashboard!$H$4="All",YEAR($A17)=Dashboard!$H$4),F17,NA())</f>
        <v>1690</v>
      </c>
      <c r="J17" s="35" t="n">
        <f aca="false">IF(OR(Dashboard!$H$4="All",YEAR($A17)=Dashboard!$H$4),H17,NA())</f>
        <v>1525</v>
      </c>
    </row>
    <row r="18" customFormat="false" ht="15" hidden="false" customHeight="false" outlineLevel="0" collapsed="false">
      <c r="A18" s="33" t="n">
        <v>45323</v>
      </c>
      <c r="B18" s="34" t="n">
        <f aca="false">SUMIFS(Sales_Data!$N$2:$N$1500,Sales_Data!$C$2:$C$1500,$A18,Sales_Data!$E$2:$E$1500,$B$1,Sales_Data!$U$2:$U$1500,$B$2)/100000</f>
        <v>13.4825</v>
      </c>
      <c r="C18" s="35" t="n">
        <f aca="false">SUMIFS(Sales_Data!$L$2:$L$1500,Sales_Data!$C$2:$C$1500,$A18,Sales_Data!$E$2:$E$1500,$B$1,Sales_Data!$U$2:$U$1500,$B$2)</f>
        <v>1550</v>
      </c>
      <c r="D18" s="34" t="n">
        <f aca="false">SUMIFS(Sales_Data!$P$2:$P$1500,Sales_Data!$C$2:$C$1500,$A18,Sales_Data!$E$2:$E$1500,$B$1,Sales_Data!$U$2:$U$1500,$B$2)/100000</f>
        <v>3.668</v>
      </c>
      <c r="E18" s="36" t="n">
        <f aca="false">IF(B18=0,NA(),D18/B18)</f>
        <v>0.272056369367699</v>
      </c>
      <c r="F18" s="37" t="n">
        <v>1680</v>
      </c>
      <c r="G18" s="38" t="n">
        <f aca="false">COUNTIFS(Sales_Data!$C$2:$C$1500,$A18,Sales_Data!$E$2:$E$1500,$B$1,Sales_Data!$U$2:$U$1500,$B$2)</f>
        <v>12</v>
      </c>
      <c r="H18" s="35" t="n">
        <f aca="false">SUMIFS(Sales_Data!$L$2:$L$1500,Sales_Data!$C$2:$C$1500,$A18)</f>
        <v>1550</v>
      </c>
      <c r="I18" s="35" t="n">
        <f aca="false">IF(OR(Dashboard!$H$4="All",YEAR($A18)=Dashboard!$H$4),F18,NA())</f>
        <v>1680</v>
      </c>
      <c r="J18" s="35" t="n">
        <f aca="false">IF(OR(Dashboard!$H$4="All",YEAR($A18)=Dashboard!$H$4),H18,NA())</f>
        <v>1550</v>
      </c>
    </row>
    <row r="19" customFormat="false" ht="15" hidden="false" customHeight="false" outlineLevel="0" collapsed="false">
      <c r="A19" s="33" t="n">
        <v>45352</v>
      </c>
      <c r="B19" s="34" t="n">
        <f aca="false">SUMIFS(Sales_Data!$N$2:$N$1500,Sales_Data!$C$2:$C$1500,$A19,Sales_Data!$E$2:$E$1500,$B$1,Sales_Data!$U$2:$U$1500,$B$2)/100000</f>
        <v>15.82625</v>
      </c>
      <c r="C19" s="35" t="n">
        <f aca="false">SUMIFS(Sales_Data!$L$2:$L$1500,Sales_Data!$C$2:$C$1500,$A19,Sales_Data!$E$2:$E$1500,$B$1,Sales_Data!$U$2:$U$1500,$B$2)</f>
        <v>1475</v>
      </c>
      <c r="D19" s="34" t="n">
        <f aca="false">SUMIFS(Sales_Data!$P$2:$P$1500,Sales_Data!$C$2:$C$1500,$A19,Sales_Data!$E$2:$E$1500,$B$1,Sales_Data!$U$2:$U$1500,$B$2)/100000</f>
        <v>4.5165</v>
      </c>
      <c r="E19" s="36" t="n">
        <f aca="false">IF(B19=0,NA(),D19/B19)</f>
        <v>0.285380301713925</v>
      </c>
      <c r="F19" s="37" t="n">
        <v>1360</v>
      </c>
      <c r="G19" s="38" t="n">
        <f aca="false">COUNTIFS(Sales_Data!$C$2:$C$1500,$A19,Sales_Data!$E$2:$E$1500,$B$1,Sales_Data!$U$2:$U$1500,$B$2)</f>
        <v>15</v>
      </c>
      <c r="H19" s="35" t="n">
        <f aca="false">SUMIFS(Sales_Data!$L$2:$L$1500,Sales_Data!$C$2:$C$1500,$A19)</f>
        <v>1475</v>
      </c>
      <c r="I19" s="35" t="n">
        <f aca="false">IF(OR(Dashboard!$H$4="All",YEAR($A19)=Dashboard!$H$4),F19,NA())</f>
        <v>1360</v>
      </c>
      <c r="J19" s="35" t="n">
        <f aca="false">IF(OR(Dashboard!$H$4="All",YEAR($A19)=Dashboard!$H$4),H19,NA())</f>
        <v>1475</v>
      </c>
    </row>
    <row r="20" customFormat="false" ht="15" hidden="false" customHeight="false" outlineLevel="0" collapsed="false">
      <c r="A20" s="33" t="n">
        <v>45383</v>
      </c>
      <c r="B20" s="34" t="n">
        <f aca="false">SUMIFS(Sales_Data!$N$2:$N$1500,Sales_Data!$C$2:$C$1500,$A20,Sales_Data!$E$2:$E$1500,$B$1,Sales_Data!$U$2:$U$1500,$B$2)/100000</f>
        <v>14.6875</v>
      </c>
      <c r="C20" s="35" t="n">
        <f aca="false">SUMIFS(Sales_Data!$L$2:$L$1500,Sales_Data!$C$2:$C$1500,$A20,Sales_Data!$E$2:$E$1500,$B$1,Sales_Data!$U$2:$U$1500,$B$2)</f>
        <v>1500</v>
      </c>
      <c r="D20" s="34" t="n">
        <f aca="false">SUMIFS(Sales_Data!$P$2:$P$1500,Sales_Data!$C$2:$C$1500,$A20,Sales_Data!$E$2:$E$1500,$B$1,Sales_Data!$U$2:$U$1500,$B$2)/100000</f>
        <v>4.2925</v>
      </c>
      <c r="E20" s="36" t="n">
        <f aca="false">IF(B20=0,NA(),D20/B20)</f>
        <v>0.292255319148936</v>
      </c>
      <c r="F20" s="37" t="n">
        <v>1410</v>
      </c>
      <c r="G20" s="38" t="n">
        <f aca="false">COUNTIFS(Sales_Data!$C$2:$C$1500,$A20,Sales_Data!$E$2:$E$1500,$B$1,Sales_Data!$U$2:$U$1500,$B$2)</f>
        <v>10</v>
      </c>
      <c r="H20" s="35" t="n">
        <f aca="false">SUMIFS(Sales_Data!$L$2:$L$1500,Sales_Data!$C$2:$C$1500,$A20)</f>
        <v>1500</v>
      </c>
      <c r="I20" s="35" t="n">
        <f aca="false">IF(OR(Dashboard!$H$4="All",YEAR($A20)=Dashboard!$H$4),F20,NA())</f>
        <v>1410</v>
      </c>
      <c r="J20" s="35" t="n">
        <f aca="false">IF(OR(Dashboard!$H$4="All",YEAR($A20)=Dashboard!$H$4),H20,NA())</f>
        <v>1500</v>
      </c>
    </row>
    <row r="21" customFormat="false" ht="15" hidden="false" customHeight="false" outlineLevel="0" collapsed="false">
      <c r="A21" s="33" t="n">
        <v>45413</v>
      </c>
      <c r="B21" s="34" t="n">
        <f aca="false">SUMIFS(Sales_Data!$N$2:$N$1500,Sales_Data!$C$2:$C$1500,$A21,Sales_Data!$E$2:$E$1500,$B$1,Sales_Data!$U$2:$U$1500,$B$2)/100000</f>
        <v>8.86</v>
      </c>
      <c r="C21" s="35" t="n">
        <f aca="false">SUMIFS(Sales_Data!$L$2:$L$1500,Sales_Data!$C$2:$C$1500,$A21,Sales_Data!$E$2:$E$1500,$B$1,Sales_Data!$U$2:$U$1500,$B$2)</f>
        <v>950</v>
      </c>
      <c r="D21" s="34" t="n">
        <f aca="false">SUMIFS(Sales_Data!$P$2:$P$1500,Sales_Data!$C$2:$C$1500,$A21,Sales_Data!$E$2:$E$1500,$B$1,Sales_Data!$U$2:$U$1500,$B$2)/100000</f>
        <v>2.52</v>
      </c>
      <c r="E21" s="36" t="n">
        <f aca="false">IF(B21=0,NA(),D21/B21)</f>
        <v>0.284424379232506</v>
      </c>
      <c r="F21" s="37" t="n">
        <v>850</v>
      </c>
      <c r="G21" s="38" t="n">
        <f aca="false">COUNTIFS(Sales_Data!$C$2:$C$1500,$A21,Sales_Data!$E$2:$E$1500,$B$1,Sales_Data!$U$2:$U$1500,$B$2)</f>
        <v>9</v>
      </c>
      <c r="H21" s="35" t="n">
        <f aca="false">SUMIFS(Sales_Data!$L$2:$L$1500,Sales_Data!$C$2:$C$1500,$A21)</f>
        <v>950</v>
      </c>
      <c r="I21" s="35" t="n">
        <f aca="false">IF(OR(Dashboard!$H$4="All",YEAR($A21)=Dashboard!$H$4),F21,NA())</f>
        <v>850</v>
      </c>
      <c r="J21" s="35" t="n">
        <f aca="false">IF(OR(Dashboard!$H$4="All",YEAR($A21)=Dashboard!$H$4),H21,NA())</f>
        <v>950</v>
      </c>
      <c r="L21" s="31" t="s">
        <v>398</v>
      </c>
    </row>
    <row r="22" customFormat="false" ht="15" hidden="false" customHeight="false" outlineLevel="0" collapsed="false">
      <c r="A22" s="33" t="n">
        <v>45444</v>
      </c>
      <c r="B22" s="34" t="n">
        <f aca="false">SUMIFS(Sales_Data!$N$2:$N$1500,Sales_Data!$C$2:$C$1500,$A22,Sales_Data!$E$2:$E$1500,$B$1,Sales_Data!$U$2:$U$1500,$B$2)/100000</f>
        <v>6.2625</v>
      </c>
      <c r="C22" s="35" t="n">
        <f aca="false">SUMIFS(Sales_Data!$L$2:$L$1500,Sales_Data!$C$2:$C$1500,$A22,Sales_Data!$E$2:$E$1500,$B$1,Sales_Data!$U$2:$U$1500,$B$2)</f>
        <v>675</v>
      </c>
      <c r="D22" s="34" t="n">
        <f aca="false">SUMIFS(Sales_Data!$P$2:$P$1500,Sales_Data!$C$2:$C$1500,$A22,Sales_Data!$E$2:$E$1500,$B$1,Sales_Data!$U$2:$U$1500,$B$2)/100000</f>
        <v>1.84225</v>
      </c>
      <c r="E22" s="36" t="n">
        <f aca="false">IF(B22=0,NA(),D22/B22)</f>
        <v>0.294171656686627</v>
      </c>
      <c r="F22" s="37" t="n">
        <v>650</v>
      </c>
      <c r="G22" s="38" t="n">
        <f aca="false">COUNTIFS(Sales_Data!$C$2:$C$1500,$A22,Sales_Data!$E$2:$E$1500,$B$1,Sales_Data!$U$2:$U$1500,$B$2)</f>
        <v>10</v>
      </c>
      <c r="H22" s="35" t="n">
        <f aca="false">SUMIFS(Sales_Data!$L$2:$L$1500,Sales_Data!$C$2:$C$1500,$A22)</f>
        <v>675</v>
      </c>
      <c r="I22" s="35" t="n">
        <f aca="false">IF(OR(Dashboard!$H$4="All",YEAR($A22)=Dashboard!$H$4),F22,NA())</f>
        <v>650</v>
      </c>
      <c r="J22" s="35" t="n">
        <f aca="false">IF(OR(Dashboard!$H$4="All",YEAR($A22)=Dashboard!$H$4),H22,NA())</f>
        <v>675</v>
      </c>
      <c r="L22" s="21" t="s">
        <v>23</v>
      </c>
      <c r="M22" s="21" t="s">
        <v>384</v>
      </c>
      <c r="N22" s="21" t="s">
        <v>385</v>
      </c>
    </row>
    <row r="23" customFormat="false" ht="15" hidden="false" customHeight="false" outlineLevel="0" collapsed="false">
      <c r="L23" s="0" t="s">
        <v>51</v>
      </c>
      <c r="M23" s="34" t="n">
        <f aca="false">SUMIFS(Sales_Data!$N$2:$N$1500,Sales_Data!$J$2:$J$1500,$L23,Sales_Data!$C$2:$C$1500,"&gt;="&amp;DATE(2023,1,1),Sales_Data!$C$2:$C$1500,"&lt;="&amp;DATE(2023,6,1),Sales_Data!$E$2:$E$1500,$B$1)/100000</f>
        <v>20.64375</v>
      </c>
      <c r="N23" s="34" t="n">
        <f aca="false">SUMIFS(Sales_Data!$N$2:$N$1500,Sales_Data!$J$2:$J$1500,$L23,Sales_Data!$C$2:$C$1500,"&gt;="&amp;DATE(2024,1,1),Sales_Data!$C$2:$C$1500,"&lt;="&amp;DATE(2024,6,1),Sales_Data!$E$2:$E$1500,$B$1)/100000</f>
        <v>10.40875</v>
      </c>
    </row>
    <row r="24" customFormat="false" ht="15" hidden="false" customHeight="false" outlineLevel="0" collapsed="false">
      <c r="L24" s="0" t="s">
        <v>113</v>
      </c>
      <c r="M24" s="34" t="n">
        <f aca="false">SUMIFS(Sales_Data!$N$2:$N$1500,Sales_Data!$J$2:$J$1500,$L24,Sales_Data!$C$2:$C$1500,"&gt;="&amp;DATE(2023,1,1),Sales_Data!$C$2:$C$1500,"&lt;="&amp;DATE(2023,6,1),Sales_Data!$E$2:$E$1500,$B$1)/100000</f>
        <v>1.375</v>
      </c>
      <c r="N24" s="34" t="n">
        <f aca="false">SUMIFS(Sales_Data!$N$2:$N$1500,Sales_Data!$J$2:$J$1500,$L24,Sales_Data!$C$2:$C$1500,"&gt;="&amp;DATE(2024,1,1),Sales_Data!$C$2:$C$1500,"&lt;="&amp;DATE(2024,6,1),Sales_Data!$E$2:$E$1500,$B$1)/100000</f>
        <v>9.9375</v>
      </c>
    </row>
    <row r="25" customFormat="false" ht="15" hidden="false" customHeight="false" outlineLevel="0" collapsed="false">
      <c r="L25" s="0" t="s">
        <v>122</v>
      </c>
      <c r="M25" s="34" t="n">
        <f aca="false">SUMIFS(Sales_Data!$N$2:$N$1500,Sales_Data!$J$2:$J$1500,$L25,Sales_Data!$C$2:$C$1500,"&gt;="&amp;DATE(2023,1,1),Sales_Data!$C$2:$C$1500,"&lt;="&amp;DATE(2023,6,1),Sales_Data!$E$2:$E$1500,$B$1)/100000</f>
        <v>9.29</v>
      </c>
      <c r="N25" s="34" t="n">
        <f aca="false">SUMIFS(Sales_Data!$N$2:$N$1500,Sales_Data!$J$2:$J$1500,$L25,Sales_Data!$C$2:$C$1500,"&gt;="&amp;DATE(2024,1,1),Sales_Data!$C$2:$C$1500,"&lt;="&amp;DATE(2024,6,1),Sales_Data!$E$2:$E$1500,$B$1)/100000</f>
        <v>11.64875</v>
      </c>
    </row>
    <row r="26" customFormat="false" ht="15" hidden="false" customHeight="false" outlineLevel="0" collapsed="false">
      <c r="A26" s="31" t="s">
        <v>399</v>
      </c>
      <c r="L26" s="38" t="s">
        <v>234</v>
      </c>
      <c r="M26" s="34" t="n">
        <f aca="false">SUMIFS(Sales_Data!$N$2:$N$1500,Sales_Data!$J$2:$J$1500,$L26,Sales_Data!$C$2:$C$1500,"&gt;="&amp;DATE(2023,1,1),Sales_Data!$C$2:$C$1500,"&lt;="&amp;DATE(2023,6,1),Sales_Data!$E$2:$E$1500,$B$1)/100000</f>
        <v>0</v>
      </c>
      <c r="N26" s="34" t="n">
        <f aca="false">SUMIFS(Sales_Data!$N$2:$N$1500,Sales_Data!$J$2:$J$1500,$L26,Sales_Data!$C$2:$C$1500,"&gt;="&amp;DATE(2024,1,1),Sales_Data!$C$2:$C$1500,"&lt;="&amp;DATE(2024,6,1),Sales_Data!$E$2:$E$1500,$B$1)/100000</f>
        <v>0.6475</v>
      </c>
    </row>
    <row r="27" customFormat="false" ht="15" hidden="false" customHeight="false" outlineLevel="0" collapsed="false">
      <c r="A27" s="21" t="s">
        <v>23</v>
      </c>
      <c r="B27" s="21" t="s">
        <v>376</v>
      </c>
      <c r="C27" s="21" t="s">
        <v>25</v>
      </c>
      <c r="D27" s="21" t="s">
        <v>378</v>
      </c>
      <c r="L27" s="38" t="s">
        <v>66</v>
      </c>
      <c r="M27" s="34" t="n">
        <f aca="false">SUMIFS(Sales_Data!$N$2:$N$1500,Sales_Data!$J$2:$J$1500,$L27,Sales_Data!$C$2:$C$1500,"&gt;="&amp;DATE(2023,1,1),Sales_Data!$C$2:$C$1500,"&lt;="&amp;DATE(2023,6,1),Sales_Data!$E$2:$E$1500,$B$1)/100000</f>
        <v>16.01</v>
      </c>
      <c r="N27" s="34" t="n">
        <f aca="false">SUMIFS(Sales_Data!$N$2:$N$1500,Sales_Data!$J$2:$J$1500,$L27,Sales_Data!$C$2:$C$1500,"&gt;="&amp;DATE(2024,1,1),Sales_Data!$C$2:$C$1500,"&lt;="&amp;DATE(2024,6,1),Sales_Data!$E$2:$E$1500,$B$1)/100000</f>
        <v>11.665</v>
      </c>
    </row>
    <row r="28" customFormat="false" ht="15" hidden="false" customHeight="false" outlineLevel="0" collapsed="false">
      <c r="A28" s="0" t="s">
        <v>51</v>
      </c>
      <c r="B28" s="34" t="n">
        <f aca="false">SUMIFS(Sales_Data!$N$2:$N$1500,Sales_Data!$J$2:$J$1500,$A28,Sales_Data!$E$2:$E$1500,$B$1,Sales_Data!$U$2:$U$1500,$B$2)/100000</f>
        <v>43.83875</v>
      </c>
      <c r="C28" s="35" t="n">
        <f aca="false">SUMIFS(Sales_Data!$L$2:$L$1500,Sales_Data!$J$2:$J$1500,$A28,Sales_Data!$E$2:$E$1500,$B$1,Sales_Data!$U$2:$U$1500,$B$2)</f>
        <v>5450</v>
      </c>
      <c r="D28" s="36" t="n">
        <f aca="false">IF(B28=0,0,SUMIFS(Sales_Data!$P$2:$P$1500,Sales_Data!$J$2:$J$1500,$A28,Sales_Data!$E$2:$E$1500,$B$1,Sales_Data!$U$2:$U$1500,$B$2)/100000/B28)</f>
        <v>0.260944940264036</v>
      </c>
      <c r="L28" s="38" t="s">
        <v>80</v>
      </c>
      <c r="M28" s="34" t="n">
        <f aca="false">SUMIFS(Sales_Data!$N$2:$N$1500,Sales_Data!$J$2:$J$1500,$L28,Sales_Data!$C$2:$C$1500,"&gt;="&amp;DATE(2023,1,1),Sales_Data!$C$2:$C$1500,"&lt;="&amp;DATE(2023,6,1),Sales_Data!$E$2:$E$1500,$B$1)/100000</f>
        <v>6.41125</v>
      </c>
      <c r="N28" s="34" t="n">
        <f aca="false">SUMIFS(Sales_Data!$N$2:$N$1500,Sales_Data!$J$2:$J$1500,$L28,Sales_Data!$C$2:$C$1500,"&gt;="&amp;DATE(2024,1,1),Sales_Data!$C$2:$C$1500,"&lt;="&amp;DATE(2024,6,1),Sales_Data!$E$2:$E$1500,$B$1)/100000</f>
        <v>19.94125</v>
      </c>
    </row>
    <row r="29" customFormat="false" ht="15" hidden="false" customHeight="false" outlineLevel="0" collapsed="false">
      <c r="A29" s="0" t="s">
        <v>113</v>
      </c>
      <c r="B29" s="34" t="n">
        <f aca="false">SUMIFS(Sales_Data!$N$2:$N$1500,Sales_Data!$J$2:$J$1500,$A29,Sales_Data!$E$2:$E$1500,$B$1,Sales_Data!$U$2:$U$1500,$B$2)/100000</f>
        <v>23.3275</v>
      </c>
      <c r="C29" s="35" t="n">
        <f aca="false">SUMIFS(Sales_Data!$L$2:$L$1500,Sales_Data!$J$2:$J$1500,$A29,Sales_Data!$E$2:$E$1500,$B$1,Sales_Data!$U$2:$U$1500,$B$2)</f>
        <v>2450</v>
      </c>
      <c r="D29" s="36" t="n">
        <f aca="false">IF(B29=0,0,SUMIFS(Sales_Data!$P$2:$P$1500,Sales_Data!$J$2:$J$1500,$A29,Sales_Data!$E$2:$E$1500,$B$1,Sales_Data!$U$2:$U$1500,$B$2)/100000/B29)</f>
        <v>0.28570356874933</v>
      </c>
      <c r="L29" s="38" t="s">
        <v>42</v>
      </c>
      <c r="M29" s="34" t="n">
        <f aca="false">SUMIFS(Sales_Data!$N$2:$N$1500,Sales_Data!$J$2:$J$1500,$L29,Sales_Data!$C$2:$C$1500,"&gt;="&amp;DATE(2023,1,1),Sales_Data!$C$2:$C$1500,"&lt;="&amp;DATE(2023,6,1),Sales_Data!$E$2:$E$1500,$B$1)/100000</f>
        <v>7.37125</v>
      </c>
      <c r="N29" s="34" t="n">
        <f aca="false">SUMIFS(Sales_Data!$N$2:$N$1500,Sales_Data!$J$2:$J$1500,$L29,Sales_Data!$C$2:$C$1500,"&gt;="&amp;DATE(2024,1,1),Sales_Data!$C$2:$C$1500,"&lt;="&amp;DATE(2024,6,1),Sales_Data!$E$2:$E$1500,$B$1)/100000</f>
        <v>4.38</v>
      </c>
    </row>
    <row r="30" customFormat="false" ht="15" hidden="false" customHeight="false" outlineLevel="0" collapsed="false">
      <c r="A30" s="0" t="s">
        <v>122</v>
      </c>
      <c r="B30" s="34" t="n">
        <f aca="false">SUMIFS(Sales_Data!$N$2:$N$1500,Sales_Data!$J$2:$J$1500,$A30,Sales_Data!$E$2:$E$1500,$B$1,Sales_Data!$U$2:$U$1500,$B$2)/100000</f>
        <v>42.03125</v>
      </c>
      <c r="C30" s="35" t="n">
        <f aca="false">SUMIFS(Sales_Data!$L$2:$L$1500,Sales_Data!$J$2:$J$1500,$A30,Sales_Data!$E$2:$E$1500,$B$1,Sales_Data!$U$2:$U$1500,$B$2)</f>
        <v>3900</v>
      </c>
      <c r="D30" s="36" t="n">
        <f aca="false">IF(B30=0,0,SUMIFS(Sales_Data!$P$2:$P$1500,Sales_Data!$J$2:$J$1500,$A30,Sales_Data!$E$2:$E$1500,$B$1,Sales_Data!$U$2:$U$1500,$B$2)/100000/B30)</f>
        <v>0.290724163568773</v>
      </c>
      <c r="L30" s="38" t="s">
        <v>150</v>
      </c>
      <c r="M30" s="34" t="n">
        <f aca="false">SUMIFS(Sales_Data!$N$2:$N$1500,Sales_Data!$J$2:$J$1500,$L30,Sales_Data!$C$2:$C$1500,"&gt;="&amp;DATE(2023,1,1),Sales_Data!$C$2:$C$1500,"&lt;="&amp;DATE(2023,6,1),Sales_Data!$E$2:$E$1500,$B$1)/100000</f>
        <v>5.5225</v>
      </c>
      <c r="N30" s="34" t="n">
        <f aca="false">SUMIFS(Sales_Data!$N$2:$N$1500,Sales_Data!$J$2:$J$1500,$L30,Sales_Data!$C$2:$C$1500,"&gt;="&amp;DATE(2024,1,1),Sales_Data!$C$2:$C$1500,"&lt;="&amp;DATE(2024,6,1),Sales_Data!$E$2:$E$1500,$B$1)/100000</f>
        <v>6.3125</v>
      </c>
    </row>
    <row r="31" customFormat="false" ht="15" hidden="false" customHeight="false" outlineLevel="0" collapsed="false">
      <c r="A31" s="0" t="s">
        <v>234</v>
      </c>
      <c r="B31" s="34" t="n">
        <f aca="false">SUMIFS(Sales_Data!$N$2:$N$1500,Sales_Data!$J$2:$J$1500,$A31,Sales_Data!$E$2:$E$1500,$B$1,Sales_Data!$U$2:$U$1500,$B$2)/100000</f>
        <v>4.3475</v>
      </c>
      <c r="C31" s="35" t="n">
        <f aca="false">SUMIFS(Sales_Data!$L$2:$L$1500,Sales_Data!$J$2:$J$1500,$A31,Sales_Data!$E$2:$E$1500,$B$1,Sales_Data!$U$2:$U$1500,$B$2)</f>
        <v>350</v>
      </c>
      <c r="D31" s="36" t="n">
        <f aca="false">IF(B31=0,0,SUMIFS(Sales_Data!$P$2:$P$1500,Sales_Data!$J$2:$J$1500,$A31,Sales_Data!$E$2:$E$1500,$B$1,Sales_Data!$U$2:$U$1500,$B$2)/100000/B31)</f>
        <v>0.318343875790684</v>
      </c>
    </row>
    <row r="32" customFormat="false" ht="15" hidden="false" customHeight="false" outlineLevel="0" collapsed="false">
      <c r="A32" s="0" t="s">
        <v>66</v>
      </c>
      <c r="B32" s="34" t="n">
        <f aca="false">SUMIFS(Sales_Data!$N$2:$N$1500,Sales_Data!$J$2:$J$1500,$A32,Sales_Data!$E$2:$E$1500,$B$1,Sales_Data!$U$2:$U$1500,$B$2)/100000</f>
        <v>33.4975</v>
      </c>
      <c r="C32" s="35" t="n">
        <f aca="false">SUMIFS(Sales_Data!$L$2:$L$1500,Sales_Data!$J$2:$J$1500,$A32,Sales_Data!$E$2:$E$1500,$B$1,Sales_Data!$U$2:$U$1500,$B$2)</f>
        <v>5050</v>
      </c>
      <c r="D32" s="36" t="n">
        <f aca="false">IF(B32=0,0,SUMIFS(Sales_Data!$P$2:$P$1500,Sales_Data!$J$2:$J$1500,$A32,Sales_Data!$E$2:$E$1500,$B$1,Sales_Data!$U$2:$U$1500,$B$2)/100000/B32)</f>
        <v>0.218665572057616</v>
      </c>
    </row>
    <row r="33" customFormat="false" ht="15" hidden="false" customHeight="false" outlineLevel="0" collapsed="false">
      <c r="A33" s="0" t="s">
        <v>80</v>
      </c>
      <c r="B33" s="34" t="n">
        <f aca="false">SUMIFS(Sales_Data!$N$2:$N$1500,Sales_Data!$J$2:$J$1500,$A33,Sales_Data!$E$2:$E$1500,$B$1,Sales_Data!$U$2:$U$1500,$B$2)/100000</f>
        <v>38.67125</v>
      </c>
      <c r="C33" s="35" t="n">
        <f aca="false">SUMIFS(Sales_Data!$L$2:$L$1500,Sales_Data!$J$2:$J$1500,$A33,Sales_Data!$E$2:$E$1500,$B$1,Sales_Data!$U$2:$U$1500,$B$2)</f>
        <v>3025</v>
      </c>
      <c r="D33" s="36" t="n">
        <f aca="false">IF(B33=0,0,SUMIFS(Sales_Data!$P$2:$P$1500,Sales_Data!$J$2:$J$1500,$A33,Sales_Data!$E$2:$E$1500,$B$1,Sales_Data!$U$2:$U$1500,$B$2)/100000/B33)</f>
        <v>0.299227462262016</v>
      </c>
      <c r="L33" s="0" t="str">
        <f aca="false">IF(SUM(M5:M10)=0,"","Like-for-like Jan–Jun:  2023 ₹ "&amp;TEXT(SUM(M5:M10),"0.0")&amp;" L   vs   2024 ₹ "&amp;TEXT(SUM(N5:N10),"0.0")&amp;" L   ("&amp;TEXT(SUM(N5:N10)/SUM(M5:M10)-1,"+0.0%;-0.0%")&amp;")")</f>
        <v>Like-for-like Jan–Jun:  2023 ₹ 66.6 L   vs   2024 ₹ 74.9 L   (+12.5%)</v>
      </c>
    </row>
    <row r="34" customFormat="false" ht="15" hidden="false" customHeight="false" outlineLevel="0" collapsed="false">
      <c r="A34" s="0" t="s">
        <v>42</v>
      </c>
      <c r="B34" s="34" t="n">
        <f aca="false">SUMIFS(Sales_Data!$N$2:$N$1500,Sales_Data!$J$2:$J$1500,$A34,Sales_Data!$E$2:$E$1500,$B$1,Sales_Data!$U$2:$U$1500,$B$2)/100000</f>
        <v>18.54</v>
      </c>
      <c r="C34" s="35" t="n">
        <f aca="false">SUMIFS(Sales_Data!$L$2:$L$1500,Sales_Data!$J$2:$J$1500,$A34,Sales_Data!$E$2:$E$1500,$B$1,Sales_Data!$U$2:$U$1500,$B$2)</f>
        <v>2200</v>
      </c>
      <c r="D34" s="36" t="n">
        <f aca="false">IF(B34=0,0,SUMIFS(Sales_Data!$P$2:$P$1500,Sales_Data!$J$2:$J$1500,$A34,Sales_Data!$E$2:$E$1500,$B$1,Sales_Data!$U$2:$U$1500,$B$2)/100000/B34)</f>
        <v>0.259924487594391</v>
      </c>
    </row>
    <row r="35" customFormat="false" ht="15" hidden="false" customHeight="false" outlineLevel="0" collapsed="false">
      <c r="A35" s="0" t="s">
        <v>150</v>
      </c>
      <c r="B35" s="34" t="n">
        <f aca="false">SUMIFS(Sales_Data!$N$2:$N$1500,Sales_Data!$J$2:$J$1500,$A35,Sales_Data!$E$2:$E$1500,$B$1,Sales_Data!$U$2:$U$1500,$B$2)/100000</f>
        <v>16.09</v>
      </c>
      <c r="C35" s="35" t="n">
        <f aca="false">SUMIFS(Sales_Data!$L$2:$L$1500,Sales_Data!$J$2:$J$1500,$A35,Sales_Data!$E$2:$E$1500,$B$1,Sales_Data!$U$2:$U$1500,$B$2)</f>
        <v>1550</v>
      </c>
      <c r="D35" s="36" t="n">
        <f aca="false">IF(B35=0,0,SUMIFS(Sales_Data!$P$2:$P$1500,Sales_Data!$J$2:$J$1500,$A35,Sales_Data!$E$2:$E$1500,$B$1,Sales_Data!$U$2:$U$1500,$B$2)/100000/B35)</f>
        <v>0.29058421379739</v>
      </c>
    </row>
    <row r="38" customFormat="false" ht="15" hidden="false" customHeight="false" outlineLevel="0" collapsed="false">
      <c r="A38" s="31" t="s">
        <v>400</v>
      </c>
    </row>
    <row r="39" customFormat="false" ht="15" hidden="false" customHeight="false" outlineLevel="0" collapsed="false">
      <c r="A39" s="21" t="s">
        <v>401</v>
      </c>
      <c r="B39" s="21" t="s">
        <v>376</v>
      </c>
      <c r="C39" s="21" t="s">
        <v>25</v>
      </c>
      <c r="D39" s="21" t="s">
        <v>378</v>
      </c>
    </row>
    <row r="40" customFormat="false" ht="15" hidden="false" customHeight="false" outlineLevel="0" collapsed="false">
      <c r="A40" s="0" t="s">
        <v>52</v>
      </c>
      <c r="B40" s="34" t="n">
        <f aca="false">SUMIFS(Sales_Data!$N$2:$N$1500,Sales_Data!$K$2:$K$1500,$A40,Sales_Data!$E$2:$E$1500,$B$1,Sales_Data!$U$2:$U$1500,$B$2)/100000</f>
        <v>48.0525</v>
      </c>
      <c r="C40" s="35" t="n">
        <f aca="false">SUMIFS(Sales_Data!$L$2:$L$1500,Sales_Data!$K$2:$K$1500,$A40,Sales_Data!$E$2:$E$1500,$B$1,Sales_Data!$U$2:$U$1500,$B$2)</f>
        <v>5350</v>
      </c>
      <c r="D40" s="36" t="n">
        <f aca="false">IF(B40=0,0,SUMIFS(Sales_Data!$P$2:$P$1500,Sales_Data!$K$2:$K$1500,$A40,Sales_Data!$E$2:$E$1500,$B$1,Sales_Data!$U$2:$U$1500,$B$2)/100000/B40)</f>
        <v>0.262743873887935</v>
      </c>
    </row>
    <row r="41" customFormat="false" ht="15" hidden="false" customHeight="false" outlineLevel="0" collapsed="false">
      <c r="A41" s="0" t="s">
        <v>130</v>
      </c>
      <c r="B41" s="34" t="n">
        <f aca="false">SUMIFS(Sales_Data!$N$2:$N$1500,Sales_Data!$K$2:$K$1500,$A41,Sales_Data!$E$2:$E$1500,$B$1,Sales_Data!$U$2:$U$1500,$B$2)/100000</f>
        <v>15.94625</v>
      </c>
      <c r="C41" s="35" t="n">
        <f aca="false">SUMIFS(Sales_Data!$L$2:$L$1500,Sales_Data!$K$2:$K$1500,$A41,Sales_Data!$E$2:$E$1500,$B$1,Sales_Data!$U$2:$U$1500,$B$2)</f>
        <v>1775</v>
      </c>
      <c r="D41" s="36" t="n">
        <f aca="false">IF(B41=0,0,SUMIFS(Sales_Data!$P$2:$P$1500,Sales_Data!$K$2:$K$1500,$A41,Sales_Data!$E$2:$E$1500,$B$1,Sales_Data!$U$2:$U$1500,$B$2)/100000/B41)</f>
        <v>0.275660421729247</v>
      </c>
    </row>
    <row r="42" customFormat="false" ht="15" hidden="false" customHeight="false" outlineLevel="0" collapsed="false">
      <c r="A42" s="0" t="s">
        <v>59</v>
      </c>
      <c r="B42" s="34" t="n">
        <f aca="false">SUMIFS(Sales_Data!$N$2:$N$1500,Sales_Data!$K$2:$K$1500,$A42,Sales_Data!$E$2:$E$1500,$B$1,Sales_Data!$U$2:$U$1500,$B$2)/100000</f>
        <v>8.9225</v>
      </c>
      <c r="C42" s="35" t="n">
        <f aca="false">SUMIFS(Sales_Data!$L$2:$L$1500,Sales_Data!$K$2:$K$1500,$A42,Sales_Data!$E$2:$E$1500,$B$1,Sales_Data!$U$2:$U$1500,$B$2)</f>
        <v>1000</v>
      </c>
      <c r="D42" s="36" t="n">
        <f aca="false">IF(B42=0,0,SUMIFS(Sales_Data!$P$2:$P$1500,Sales_Data!$K$2:$K$1500,$A42,Sales_Data!$E$2:$E$1500,$B$1,Sales_Data!$U$2:$U$1500,$B$2)/100000/B42)</f>
        <v>0.273437937797703</v>
      </c>
    </row>
    <row r="43" customFormat="false" ht="15" hidden="false" customHeight="false" outlineLevel="0" collapsed="false">
      <c r="A43" s="0" t="s">
        <v>76</v>
      </c>
      <c r="B43" s="34" t="n">
        <f aca="false">SUMIFS(Sales_Data!$N$2:$N$1500,Sales_Data!$K$2:$K$1500,$A43,Sales_Data!$E$2:$E$1500,$B$1,Sales_Data!$U$2:$U$1500,$B$2)/100000</f>
        <v>23.99875</v>
      </c>
      <c r="C43" s="35" t="n">
        <f aca="false">SUMIFS(Sales_Data!$L$2:$L$1500,Sales_Data!$K$2:$K$1500,$A43,Sales_Data!$E$2:$E$1500,$B$1,Sales_Data!$U$2:$U$1500,$B$2)</f>
        <v>2850</v>
      </c>
      <c r="D43" s="36" t="n">
        <f aca="false">IF(B43=0,0,SUMIFS(Sales_Data!$P$2:$P$1500,Sales_Data!$K$2:$K$1500,$A43,Sales_Data!$E$2:$E$1500,$B$1,Sales_Data!$U$2:$U$1500,$B$2)/100000/B43)</f>
        <v>0.259617688421272</v>
      </c>
    </row>
    <row r="44" customFormat="false" ht="15" hidden="false" customHeight="false" outlineLevel="0" collapsed="false">
      <c r="A44" s="0" t="s">
        <v>67</v>
      </c>
      <c r="B44" s="34" t="n">
        <f aca="false">SUMIFS(Sales_Data!$N$2:$N$1500,Sales_Data!$K$2:$K$1500,$A44,Sales_Data!$E$2:$E$1500,$B$1,Sales_Data!$U$2:$U$1500,$B$2)/100000</f>
        <v>47.10625</v>
      </c>
      <c r="C44" s="35" t="n">
        <f aca="false">SUMIFS(Sales_Data!$L$2:$L$1500,Sales_Data!$K$2:$K$1500,$A44,Sales_Data!$E$2:$E$1500,$B$1,Sales_Data!$U$2:$U$1500,$B$2)</f>
        <v>4750</v>
      </c>
      <c r="D44" s="36" t="n">
        <f aca="false">IF(B44=0,0,SUMIFS(Sales_Data!$P$2:$P$1500,Sales_Data!$K$2:$K$1500,$A44,Sales_Data!$E$2:$E$1500,$B$1,Sales_Data!$U$2:$U$1500,$B$2)/100000/B44)</f>
        <v>0.288618813851665</v>
      </c>
    </row>
    <row r="45" customFormat="false" ht="15" hidden="false" customHeight="false" outlineLevel="0" collapsed="false">
      <c r="A45" s="0" t="s">
        <v>43</v>
      </c>
      <c r="B45" s="34" t="n">
        <f aca="false">SUMIFS(Sales_Data!$N$2:$N$1500,Sales_Data!$K$2:$K$1500,$A45,Sales_Data!$E$2:$E$1500,$B$1,Sales_Data!$U$2:$U$1500,$B$2)/100000</f>
        <v>52.37125</v>
      </c>
      <c r="C45" s="35" t="n">
        <f aca="false">SUMIFS(Sales_Data!$L$2:$L$1500,Sales_Data!$K$2:$K$1500,$A45,Sales_Data!$E$2:$E$1500,$B$1,Sales_Data!$U$2:$U$1500,$B$2)</f>
        <v>5250</v>
      </c>
      <c r="D45" s="36" t="n">
        <f aca="false">IF(B45=0,0,SUMIFS(Sales_Data!$P$2:$P$1500,Sales_Data!$K$2:$K$1500,$A45,Sales_Data!$E$2:$E$1500,$B$1,Sales_Data!$U$2:$U$1500,$B$2)/100000/B45)</f>
        <v>0.278568871279567</v>
      </c>
    </row>
    <row r="46" customFormat="false" ht="15" hidden="false" customHeight="false" outlineLevel="0" collapsed="false">
      <c r="A46" s="0" t="s">
        <v>105</v>
      </c>
      <c r="B46" s="34" t="n">
        <f aca="false">SUMIFS(Sales_Data!$N$2:$N$1500,Sales_Data!$K$2:$K$1500,$A46,Sales_Data!$E$2:$E$1500,$B$1,Sales_Data!$U$2:$U$1500,$B$2)/100000</f>
        <v>3.15</v>
      </c>
      <c r="C46" s="35" t="n">
        <f aca="false">SUMIFS(Sales_Data!$L$2:$L$1500,Sales_Data!$K$2:$K$1500,$A46,Sales_Data!$E$2:$E$1500,$B$1,Sales_Data!$U$2:$U$1500,$B$2)</f>
        <v>300</v>
      </c>
      <c r="D46" s="36" t="n">
        <f aca="false">IF(B46=0,0,SUMIFS(Sales_Data!$P$2:$P$1500,Sales_Data!$K$2:$K$1500,$A46,Sales_Data!$E$2:$E$1500,$B$1,Sales_Data!$U$2:$U$1500,$B$2)/100000/B46)</f>
        <v>0.311111111111111</v>
      </c>
    </row>
    <row r="47" customFormat="false" ht="15" hidden="false" customHeight="false" outlineLevel="0" collapsed="false">
      <c r="A47" s="0" t="s">
        <v>145</v>
      </c>
      <c r="B47" s="34" t="n">
        <f aca="false">SUMIFS(Sales_Data!$N$2:$N$1500,Sales_Data!$K$2:$K$1500,$A47,Sales_Data!$E$2:$E$1500,$B$1,Sales_Data!$U$2:$U$1500,$B$2)/100000</f>
        <v>20.79625</v>
      </c>
      <c r="C47" s="35" t="n">
        <f aca="false">SUMIFS(Sales_Data!$L$2:$L$1500,Sales_Data!$K$2:$K$1500,$A47,Sales_Data!$E$2:$E$1500,$B$1,Sales_Data!$U$2:$U$1500,$B$2)</f>
        <v>2700</v>
      </c>
      <c r="D47" s="36" t="n">
        <f aca="false">IF(B47=0,0,SUMIFS(Sales_Data!$P$2:$P$1500,Sales_Data!$K$2:$K$1500,$A47,Sales_Data!$E$2:$E$1500,$B$1,Sales_Data!$U$2:$U$1500,$B$2)/100000/B47)</f>
        <v>0.252076696519805</v>
      </c>
    </row>
    <row r="50" customFormat="false" ht="15" hidden="false" customHeight="false" outlineLevel="0" collapsed="false">
      <c r="A50" s="31" t="s">
        <v>402</v>
      </c>
    </row>
    <row r="51" customFormat="false" ht="15" hidden="false" customHeight="false" outlineLevel="0" collapsed="false">
      <c r="A51" s="21" t="s">
        <v>18</v>
      </c>
      <c r="B51" s="21" t="s">
        <v>376</v>
      </c>
    </row>
    <row r="52" customFormat="false" ht="15" hidden="false" customHeight="false" outlineLevel="0" collapsed="false">
      <c r="A52" s="0" t="s">
        <v>47</v>
      </c>
      <c r="B52" s="34" t="n">
        <f aca="false">SUMIFS(Sales_Data!$N$2:$N$1500,Sales_Data!$E$2:$E$1500,$A52,Sales_Data!$U$2:$U$1500,$B$2)/100000</f>
        <v>90.80375</v>
      </c>
    </row>
    <row r="53" customFormat="false" ht="15" hidden="false" customHeight="false" outlineLevel="0" collapsed="false">
      <c r="A53" s="0" t="s">
        <v>37</v>
      </c>
      <c r="B53" s="34" t="n">
        <f aca="false">SUMIFS(Sales_Data!$N$2:$N$1500,Sales_Data!$E$2:$E$1500,$A53,Sales_Data!$U$2:$U$1500,$B$2)/100000</f>
        <v>129.54</v>
      </c>
    </row>
    <row r="56" customFormat="false" ht="15" hidden="false" customHeight="false" outlineLevel="0" collapsed="false">
      <c r="A56" s="31" t="s">
        <v>403</v>
      </c>
    </row>
    <row r="57" customFormat="false" ht="15" hidden="false" customHeight="false" outlineLevel="0" collapsed="false">
      <c r="A57" s="21" t="s">
        <v>404</v>
      </c>
      <c r="B57" s="21" t="s">
        <v>376</v>
      </c>
      <c r="C57" s="21" t="s">
        <v>25</v>
      </c>
      <c r="D57" s="21" t="s">
        <v>405</v>
      </c>
    </row>
    <row r="58" customFormat="false" ht="15" hidden="false" customHeight="false" outlineLevel="0" collapsed="false">
      <c r="A58" s="0" t="s">
        <v>74</v>
      </c>
      <c r="B58" s="34" t="n">
        <f aca="false">SUMIFS(Sales_Data!$N$2:$N$1500,Sales_Data!$H$2:$H$1500,$A58,Sales_Data!$E$2:$E$1500,$B$1,Sales_Data!$U$2:$U$1500,$B$2)/100000</f>
        <v>19.88</v>
      </c>
      <c r="C58" s="35" t="n">
        <f aca="false">SUMIFS(Sales_Data!$L$2:$L$1500,Sales_Data!$H$2:$H$1500,$A58,Sales_Data!$E$2:$E$1500,$B$1,Sales_Data!$U$2:$U$1500,$B$2)</f>
        <v>2500</v>
      </c>
      <c r="D58" s="39" t="n">
        <f aca="false">B58+ROW()/1000000</f>
        <v>19.880058</v>
      </c>
    </row>
    <row r="59" customFormat="false" ht="15" hidden="false" customHeight="false" outlineLevel="0" collapsed="false">
      <c r="A59" s="0" t="s">
        <v>212</v>
      </c>
      <c r="B59" s="34" t="n">
        <f aca="false">SUMIFS(Sales_Data!$N$2:$N$1500,Sales_Data!$H$2:$H$1500,$A59,Sales_Data!$E$2:$E$1500,$B$1,Sales_Data!$U$2:$U$1500,$B$2)/100000</f>
        <v>2.395</v>
      </c>
      <c r="C59" s="35" t="n">
        <f aca="false">SUMIFS(Sales_Data!$L$2:$L$1500,Sales_Data!$H$2:$H$1500,$A59,Sales_Data!$E$2:$E$1500,$B$1,Sales_Data!$U$2:$U$1500,$B$2)</f>
        <v>300</v>
      </c>
      <c r="D59" s="39" t="n">
        <f aca="false">B59+ROW()/1000000</f>
        <v>2.395059</v>
      </c>
    </row>
    <row r="60" customFormat="false" ht="15" hidden="false" customHeight="false" outlineLevel="0" collapsed="false">
      <c r="A60" s="0" t="s">
        <v>57</v>
      </c>
      <c r="B60" s="34" t="n">
        <f aca="false">SUMIFS(Sales_Data!$N$2:$N$1500,Sales_Data!$H$2:$H$1500,$A60,Sales_Data!$E$2:$E$1500,$B$1,Sales_Data!$U$2:$U$1500,$B$2)/100000</f>
        <v>3.22</v>
      </c>
      <c r="C60" s="35" t="n">
        <f aca="false">SUMIFS(Sales_Data!$L$2:$L$1500,Sales_Data!$H$2:$H$1500,$A60,Sales_Data!$E$2:$E$1500,$B$1,Sales_Data!$U$2:$U$1500,$B$2)</f>
        <v>425</v>
      </c>
      <c r="D60" s="39" t="n">
        <f aca="false">B60+ROW()/1000000</f>
        <v>3.22006</v>
      </c>
    </row>
    <row r="61" customFormat="false" ht="15" hidden="false" customHeight="false" outlineLevel="0" collapsed="false">
      <c r="A61" s="0" t="s">
        <v>140</v>
      </c>
      <c r="B61" s="34" t="n">
        <f aca="false">SUMIFS(Sales_Data!$N$2:$N$1500,Sales_Data!$H$2:$H$1500,$A61,Sales_Data!$E$2:$E$1500,$B$1,Sales_Data!$U$2:$U$1500,$B$2)/100000</f>
        <v>2.6775</v>
      </c>
      <c r="C61" s="35" t="n">
        <f aca="false">SUMIFS(Sales_Data!$L$2:$L$1500,Sales_Data!$H$2:$H$1500,$A61,Sales_Data!$E$2:$E$1500,$B$1,Sales_Data!$U$2:$U$1500,$B$2)</f>
        <v>300</v>
      </c>
      <c r="D61" s="39" t="n">
        <f aca="false">B61+ROW()/1000000</f>
        <v>2.677561</v>
      </c>
    </row>
    <row r="62" customFormat="false" ht="15" hidden="false" customHeight="false" outlineLevel="0" collapsed="false">
      <c r="A62" s="0" t="s">
        <v>86</v>
      </c>
      <c r="B62" s="34" t="n">
        <f aca="false">SUMIFS(Sales_Data!$N$2:$N$1500,Sales_Data!$H$2:$H$1500,$A62,Sales_Data!$E$2:$E$1500,$B$1,Sales_Data!$U$2:$U$1500,$B$2)/100000</f>
        <v>8.12875</v>
      </c>
      <c r="C62" s="35" t="n">
        <f aca="false">SUMIFS(Sales_Data!$L$2:$L$1500,Sales_Data!$H$2:$H$1500,$A62,Sales_Data!$E$2:$E$1500,$B$1,Sales_Data!$U$2:$U$1500,$B$2)</f>
        <v>975</v>
      </c>
      <c r="D62" s="39" t="n">
        <f aca="false">B62+ROW()/1000000</f>
        <v>8.128812</v>
      </c>
    </row>
    <row r="63" customFormat="false" ht="15" hidden="false" customHeight="false" outlineLevel="0" collapsed="false">
      <c r="A63" s="0" t="s">
        <v>50</v>
      </c>
      <c r="B63" s="34" t="n">
        <f aca="false">SUMIFS(Sales_Data!$N$2:$N$1500,Sales_Data!$H$2:$H$1500,$A63,Sales_Data!$E$2:$E$1500,$B$1,Sales_Data!$U$2:$U$1500,$B$2)/100000</f>
        <v>7.5375</v>
      </c>
      <c r="C63" s="35" t="n">
        <f aca="false">SUMIFS(Sales_Data!$L$2:$L$1500,Sales_Data!$H$2:$H$1500,$A63,Sales_Data!$E$2:$E$1500,$B$1,Sales_Data!$U$2:$U$1500,$B$2)</f>
        <v>950</v>
      </c>
      <c r="D63" s="39" t="n">
        <f aca="false">B63+ROW()/1000000</f>
        <v>7.537563</v>
      </c>
    </row>
    <row r="64" customFormat="false" ht="15" hidden="false" customHeight="false" outlineLevel="0" collapsed="false">
      <c r="A64" s="0" t="s">
        <v>111</v>
      </c>
      <c r="B64" s="34" t="n">
        <f aca="false">SUMIFS(Sales_Data!$N$2:$N$1500,Sales_Data!$H$2:$H$1500,$A64,Sales_Data!$E$2:$E$1500,$B$1,Sales_Data!$U$2:$U$1500,$B$2)/100000</f>
        <v>4.5625</v>
      </c>
      <c r="C64" s="35" t="n">
        <f aca="false">SUMIFS(Sales_Data!$L$2:$L$1500,Sales_Data!$H$2:$H$1500,$A64,Sales_Data!$E$2:$E$1500,$B$1,Sales_Data!$U$2:$U$1500,$B$2)</f>
        <v>500</v>
      </c>
      <c r="D64" s="39" t="n">
        <f aca="false">B64+ROW()/1000000</f>
        <v>4.562564</v>
      </c>
    </row>
    <row r="65" customFormat="false" ht="15" hidden="false" customHeight="false" outlineLevel="0" collapsed="false">
      <c r="A65" s="0" t="s">
        <v>221</v>
      </c>
      <c r="B65" s="34" t="n">
        <f aca="false">SUMIFS(Sales_Data!$N$2:$N$1500,Sales_Data!$H$2:$H$1500,$A65,Sales_Data!$E$2:$E$1500,$B$1,Sales_Data!$U$2:$U$1500,$B$2)/100000</f>
        <v>1.72</v>
      </c>
      <c r="C65" s="35" t="n">
        <f aca="false">SUMIFS(Sales_Data!$L$2:$L$1500,Sales_Data!$H$2:$H$1500,$A65,Sales_Data!$E$2:$E$1500,$B$1,Sales_Data!$U$2:$U$1500,$B$2)</f>
        <v>175</v>
      </c>
      <c r="D65" s="39" t="n">
        <f aca="false">B65+ROW()/1000000</f>
        <v>1.720065</v>
      </c>
    </row>
    <row r="66" customFormat="false" ht="15" hidden="false" customHeight="false" outlineLevel="0" collapsed="false">
      <c r="A66" s="0" t="s">
        <v>172</v>
      </c>
      <c r="B66" s="34" t="n">
        <f aca="false">SUMIFS(Sales_Data!$N$2:$N$1500,Sales_Data!$H$2:$H$1500,$A66,Sales_Data!$E$2:$E$1500,$B$1,Sales_Data!$U$2:$U$1500,$B$2)/100000</f>
        <v>14.87</v>
      </c>
      <c r="C66" s="35" t="n">
        <f aca="false">SUMIFS(Sales_Data!$L$2:$L$1500,Sales_Data!$H$2:$H$1500,$A66,Sales_Data!$E$2:$E$1500,$B$1,Sales_Data!$U$2:$U$1500,$B$2)</f>
        <v>1550</v>
      </c>
      <c r="D66" s="39" t="n">
        <f aca="false">B66+ROW()/1000000</f>
        <v>14.870066</v>
      </c>
    </row>
    <row r="67" customFormat="false" ht="15" hidden="false" customHeight="false" outlineLevel="0" collapsed="false">
      <c r="A67" s="0" t="s">
        <v>244</v>
      </c>
      <c r="B67" s="34" t="n">
        <f aca="false">SUMIFS(Sales_Data!$N$2:$N$1500,Sales_Data!$H$2:$H$1500,$A67,Sales_Data!$E$2:$E$1500,$B$1,Sales_Data!$U$2:$U$1500,$B$2)/100000</f>
        <v>2.175</v>
      </c>
      <c r="C67" s="35" t="n">
        <f aca="false">SUMIFS(Sales_Data!$L$2:$L$1500,Sales_Data!$H$2:$H$1500,$A67,Sales_Data!$E$2:$E$1500,$B$1,Sales_Data!$U$2:$U$1500,$B$2)</f>
        <v>225</v>
      </c>
      <c r="D67" s="39" t="n">
        <f aca="false">B67+ROW()/1000000</f>
        <v>2.175067</v>
      </c>
    </row>
    <row r="68" customFormat="false" ht="15" hidden="false" customHeight="false" outlineLevel="0" collapsed="false">
      <c r="A68" s="0" t="s">
        <v>258</v>
      </c>
      <c r="B68" s="34" t="n">
        <f aca="false">SUMIFS(Sales_Data!$N$2:$N$1500,Sales_Data!$H$2:$H$1500,$A68,Sales_Data!$E$2:$E$1500,$B$1,Sales_Data!$U$2:$U$1500,$B$2)/100000</f>
        <v>9.75125</v>
      </c>
      <c r="C68" s="35" t="n">
        <f aca="false">SUMIFS(Sales_Data!$L$2:$L$1500,Sales_Data!$H$2:$H$1500,$A68,Sales_Data!$E$2:$E$1500,$B$1,Sales_Data!$U$2:$U$1500,$B$2)</f>
        <v>925</v>
      </c>
      <c r="D68" s="39" t="n">
        <f aca="false">B68+ROW()/1000000</f>
        <v>9.751318</v>
      </c>
    </row>
    <row r="69" customFormat="false" ht="15" hidden="false" customHeight="false" outlineLevel="0" collapsed="false">
      <c r="A69" s="0" t="s">
        <v>182</v>
      </c>
      <c r="B69" s="34" t="n">
        <f aca="false">SUMIFS(Sales_Data!$N$2:$N$1500,Sales_Data!$H$2:$H$1500,$A69,Sales_Data!$E$2:$E$1500,$B$1,Sales_Data!$U$2:$U$1500,$B$2)/100000</f>
        <v>4.32375</v>
      </c>
      <c r="C69" s="35" t="n">
        <f aca="false">SUMIFS(Sales_Data!$L$2:$L$1500,Sales_Data!$H$2:$H$1500,$A69,Sales_Data!$E$2:$E$1500,$B$1,Sales_Data!$U$2:$U$1500,$B$2)</f>
        <v>425</v>
      </c>
      <c r="D69" s="39" t="n">
        <f aca="false">B69+ROW()/1000000</f>
        <v>4.323819</v>
      </c>
    </row>
    <row r="70" customFormat="false" ht="15" hidden="false" customHeight="false" outlineLevel="0" collapsed="false">
      <c r="A70" s="0" t="s">
        <v>163</v>
      </c>
      <c r="B70" s="34" t="n">
        <f aca="false">SUMIFS(Sales_Data!$N$2:$N$1500,Sales_Data!$H$2:$H$1500,$A70,Sales_Data!$E$2:$E$1500,$B$1,Sales_Data!$U$2:$U$1500,$B$2)/100000</f>
        <v>8.90125</v>
      </c>
      <c r="C70" s="35" t="n">
        <f aca="false">SUMIFS(Sales_Data!$L$2:$L$1500,Sales_Data!$H$2:$H$1500,$A70,Sales_Data!$E$2:$E$1500,$B$1,Sales_Data!$U$2:$U$1500,$B$2)</f>
        <v>800</v>
      </c>
      <c r="D70" s="39" t="n">
        <f aca="false">B70+ROW()/1000000</f>
        <v>8.90132</v>
      </c>
    </row>
    <row r="71" customFormat="false" ht="15" hidden="false" customHeight="false" outlineLevel="0" collapsed="false">
      <c r="A71" s="0" t="s">
        <v>318</v>
      </c>
      <c r="B71" s="34" t="n">
        <f aca="false">SUMIFS(Sales_Data!$N$2:$N$1500,Sales_Data!$H$2:$H$1500,$A71,Sales_Data!$E$2:$E$1500,$B$1,Sales_Data!$U$2:$U$1500,$B$2)/100000</f>
        <v>2.9875</v>
      </c>
      <c r="C71" s="35" t="n">
        <f aca="false">SUMIFS(Sales_Data!$L$2:$L$1500,Sales_Data!$H$2:$H$1500,$A71,Sales_Data!$E$2:$E$1500,$B$1,Sales_Data!$U$2:$U$1500,$B$2)</f>
        <v>250</v>
      </c>
      <c r="D71" s="39" t="n">
        <f aca="false">B71+ROW()/1000000</f>
        <v>2.987571</v>
      </c>
    </row>
    <row r="72" customFormat="false" ht="15" hidden="false" customHeight="false" outlineLevel="0" collapsed="false">
      <c r="A72" s="0" t="s">
        <v>120</v>
      </c>
      <c r="B72" s="34" t="n">
        <f aca="false">SUMIFS(Sales_Data!$N$2:$N$1500,Sales_Data!$H$2:$H$1500,$A72,Sales_Data!$E$2:$E$1500,$B$1,Sales_Data!$U$2:$U$1500,$B$2)/100000</f>
        <v>7.22625</v>
      </c>
      <c r="C72" s="35" t="n">
        <f aca="false">SUMIFS(Sales_Data!$L$2:$L$1500,Sales_Data!$H$2:$H$1500,$A72,Sales_Data!$E$2:$E$1500,$B$1,Sales_Data!$U$2:$U$1500,$B$2)</f>
        <v>625</v>
      </c>
      <c r="D72" s="39" t="n">
        <f aca="false">B72+ROW()/1000000</f>
        <v>7.226322</v>
      </c>
    </row>
    <row r="73" customFormat="false" ht="15" hidden="false" customHeight="false" outlineLevel="0" collapsed="false">
      <c r="A73" s="0" t="s">
        <v>156</v>
      </c>
      <c r="B73" s="34" t="n">
        <f aca="false">SUMIFS(Sales_Data!$N$2:$N$1500,Sales_Data!$H$2:$H$1500,$A73,Sales_Data!$E$2:$E$1500,$B$1,Sales_Data!$U$2:$U$1500,$B$2)/100000</f>
        <v>3.64875</v>
      </c>
      <c r="C73" s="35" t="n">
        <f aca="false">SUMIFS(Sales_Data!$L$2:$L$1500,Sales_Data!$H$2:$H$1500,$A73,Sales_Data!$E$2:$E$1500,$B$1,Sales_Data!$U$2:$U$1500,$B$2)</f>
        <v>325</v>
      </c>
      <c r="D73" s="39" t="n">
        <f aca="false">B73+ROW()/1000000</f>
        <v>3.648823</v>
      </c>
    </row>
    <row r="74" customFormat="false" ht="15" hidden="false" customHeight="false" outlineLevel="0" collapsed="false">
      <c r="A74" s="0" t="s">
        <v>279</v>
      </c>
      <c r="B74" s="34" t="n">
        <f aca="false">SUMIFS(Sales_Data!$N$2:$N$1500,Sales_Data!$H$2:$H$1500,$A74,Sales_Data!$E$2:$E$1500,$B$1,Sales_Data!$U$2:$U$1500,$B$2)/100000</f>
        <v>0.28375</v>
      </c>
      <c r="C74" s="35" t="n">
        <f aca="false">SUMIFS(Sales_Data!$L$2:$L$1500,Sales_Data!$H$2:$H$1500,$A74,Sales_Data!$E$2:$E$1500,$B$1,Sales_Data!$U$2:$U$1500,$B$2)</f>
        <v>25</v>
      </c>
      <c r="D74" s="39" t="n">
        <f aca="false">B74+ROW()/1000000</f>
        <v>0.283824</v>
      </c>
    </row>
    <row r="75" customFormat="false" ht="15" hidden="false" customHeight="false" outlineLevel="0" collapsed="false">
      <c r="A75" s="0" t="s">
        <v>283</v>
      </c>
      <c r="B75" s="34" t="n">
        <f aca="false">SUMIFS(Sales_Data!$N$2:$N$1500,Sales_Data!$H$2:$H$1500,$A75,Sales_Data!$E$2:$E$1500,$B$1,Sales_Data!$U$2:$U$1500,$B$2)/100000</f>
        <v>1.9175</v>
      </c>
      <c r="C75" s="35" t="n">
        <f aca="false">SUMIFS(Sales_Data!$L$2:$L$1500,Sales_Data!$H$2:$H$1500,$A75,Sales_Data!$E$2:$E$1500,$B$1,Sales_Data!$U$2:$U$1500,$B$2)</f>
        <v>150</v>
      </c>
      <c r="D75" s="39" t="n">
        <f aca="false">B75+ROW()/1000000</f>
        <v>1.917575</v>
      </c>
    </row>
    <row r="76" customFormat="false" ht="15" hidden="false" customHeight="false" outlineLevel="0" collapsed="false">
      <c r="A76" s="0" t="s">
        <v>233</v>
      </c>
      <c r="B76" s="34" t="n">
        <f aca="false">SUMIFS(Sales_Data!$N$2:$N$1500,Sales_Data!$H$2:$H$1500,$A76,Sales_Data!$E$2:$E$1500,$B$1,Sales_Data!$U$2:$U$1500,$B$2)/100000</f>
        <v>2.43</v>
      </c>
      <c r="C76" s="35" t="n">
        <f aca="false">SUMIFS(Sales_Data!$L$2:$L$1500,Sales_Data!$H$2:$H$1500,$A76,Sales_Data!$E$2:$E$1500,$B$1,Sales_Data!$U$2:$U$1500,$B$2)</f>
        <v>200</v>
      </c>
      <c r="D76" s="39" t="n">
        <f aca="false">B76+ROW()/1000000</f>
        <v>2.430076</v>
      </c>
    </row>
    <row r="77" customFormat="false" ht="15" hidden="false" customHeight="false" outlineLevel="0" collapsed="false">
      <c r="A77" s="0" t="s">
        <v>83</v>
      </c>
      <c r="B77" s="34" t="n">
        <f aca="false">SUMIFS(Sales_Data!$N$2:$N$1500,Sales_Data!$H$2:$H$1500,$A77,Sales_Data!$E$2:$E$1500,$B$1,Sales_Data!$U$2:$U$1500,$B$2)/100000</f>
        <v>14.45875</v>
      </c>
      <c r="C77" s="35" t="n">
        <f aca="false">SUMIFS(Sales_Data!$L$2:$L$1500,Sales_Data!$H$2:$H$1500,$A77,Sales_Data!$E$2:$E$1500,$B$1,Sales_Data!$U$2:$U$1500,$B$2)</f>
        <v>2300</v>
      </c>
      <c r="D77" s="39" t="n">
        <f aca="false">B77+ROW()/1000000</f>
        <v>14.458827</v>
      </c>
    </row>
    <row r="78" customFormat="false" ht="15" hidden="false" customHeight="false" outlineLevel="0" collapsed="false">
      <c r="A78" s="0" t="s">
        <v>64</v>
      </c>
      <c r="B78" s="34" t="n">
        <f aca="false">SUMIFS(Sales_Data!$N$2:$N$1500,Sales_Data!$H$2:$H$1500,$A78,Sales_Data!$E$2:$E$1500,$B$1,Sales_Data!$U$2:$U$1500,$B$2)/100000</f>
        <v>10.115</v>
      </c>
      <c r="C78" s="35" t="n">
        <f aca="false">SUMIFS(Sales_Data!$L$2:$L$1500,Sales_Data!$H$2:$H$1500,$A78,Sales_Data!$E$2:$E$1500,$B$1,Sales_Data!$U$2:$U$1500,$B$2)</f>
        <v>1475</v>
      </c>
      <c r="D78" s="39" t="n">
        <f aca="false">B78+ROW()/1000000</f>
        <v>10.115078</v>
      </c>
    </row>
    <row r="79" customFormat="false" ht="15" hidden="false" customHeight="false" outlineLevel="0" collapsed="false">
      <c r="A79" s="0" t="s">
        <v>135</v>
      </c>
      <c r="B79" s="34" t="n">
        <f aca="false">SUMIFS(Sales_Data!$N$2:$N$1500,Sales_Data!$H$2:$H$1500,$A79,Sales_Data!$E$2:$E$1500,$B$1,Sales_Data!$U$2:$U$1500,$B$2)/100000</f>
        <v>6.3475</v>
      </c>
      <c r="C79" s="35" t="n">
        <f aca="false">SUMIFS(Sales_Data!$L$2:$L$1500,Sales_Data!$H$2:$H$1500,$A79,Sales_Data!$E$2:$E$1500,$B$1,Sales_Data!$U$2:$U$1500,$B$2)</f>
        <v>900</v>
      </c>
      <c r="D79" s="39" t="n">
        <f aca="false">B79+ROW()/1000000</f>
        <v>6.347579</v>
      </c>
    </row>
    <row r="80" customFormat="false" ht="15" hidden="false" customHeight="false" outlineLevel="0" collapsed="false">
      <c r="A80" s="0" t="s">
        <v>90</v>
      </c>
      <c r="B80" s="34" t="n">
        <f aca="false">SUMIFS(Sales_Data!$N$2:$N$1500,Sales_Data!$H$2:$H$1500,$A80,Sales_Data!$E$2:$E$1500,$B$1,Sales_Data!$U$2:$U$1500,$B$2)/100000</f>
        <v>2.57625</v>
      </c>
      <c r="C80" s="35" t="n">
        <f aca="false">SUMIFS(Sales_Data!$L$2:$L$1500,Sales_Data!$H$2:$H$1500,$A80,Sales_Data!$E$2:$E$1500,$B$1,Sales_Data!$U$2:$U$1500,$B$2)</f>
        <v>375</v>
      </c>
      <c r="D80" s="39" t="n">
        <f aca="false">B80+ROW()/1000000</f>
        <v>2.57633</v>
      </c>
    </row>
    <row r="81" customFormat="false" ht="15" hidden="false" customHeight="false" outlineLevel="0" collapsed="false">
      <c r="A81" s="0" t="s">
        <v>100</v>
      </c>
      <c r="B81" s="34" t="n">
        <f aca="false">SUMIFS(Sales_Data!$N$2:$N$1500,Sales_Data!$H$2:$H$1500,$A81,Sales_Data!$E$2:$E$1500,$B$1,Sales_Data!$U$2:$U$1500,$B$2)/100000</f>
        <v>21.385</v>
      </c>
      <c r="C81" s="35" t="n">
        <f aca="false">SUMIFS(Sales_Data!$L$2:$L$1500,Sales_Data!$H$2:$H$1500,$A81,Sales_Data!$E$2:$E$1500,$B$1,Sales_Data!$U$2:$U$1500,$B$2)</f>
        <v>1675</v>
      </c>
      <c r="D81" s="39" t="n">
        <f aca="false">B81+ROW()/1000000</f>
        <v>21.385081</v>
      </c>
    </row>
    <row r="82" customFormat="false" ht="15" hidden="false" customHeight="false" outlineLevel="0" collapsed="false">
      <c r="A82" s="0" t="s">
        <v>117</v>
      </c>
      <c r="B82" s="34" t="n">
        <f aca="false">SUMIFS(Sales_Data!$N$2:$N$1500,Sales_Data!$H$2:$H$1500,$A82,Sales_Data!$E$2:$E$1500,$B$1,Sales_Data!$U$2:$U$1500,$B$2)/100000</f>
        <v>8.595</v>
      </c>
      <c r="C82" s="35" t="n">
        <f aca="false">SUMIFS(Sales_Data!$L$2:$L$1500,Sales_Data!$H$2:$H$1500,$A82,Sales_Data!$E$2:$E$1500,$B$1,Sales_Data!$U$2:$U$1500,$B$2)</f>
        <v>700</v>
      </c>
      <c r="D82" s="39" t="n">
        <f aca="false">B82+ROW()/1000000</f>
        <v>8.595082</v>
      </c>
    </row>
    <row r="83" customFormat="false" ht="15" hidden="false" customHeight="false" outlineLevel="0" collapsed="false">
      <c r="A83" s="0" t="s">
        <v>298</v>
      </c>
      <c r="B83" s="34" t="n">
        <f aca="false">SUMIFS(Sales_Data!$N$2:$N$1500,Sales_Data!$H$2:$H$1500,$A83,Sales_Data!$E$2:$E$1500,$B$1,Sales_Data!$U$2:$U$1500,$B$2)/100000</f>
        <v>4.25375</v>
      </c>
      <c r="C83" s="35" t="n">
        <f aca="false">SUMIFS(Sales_Data!$L$2:$L$1500,Sales_Data!$H$2:$H$1500,$A83,Sales_Data!$E$2:$E$1500,$B$1,Sales_Data!$U$2:$U$1500,$B$2)</f>
        <v>300</v>
      </c>
      <c r="D83" s="39" t="n">
        <f aca="false">B83+ROW()/1000000</f>
        <v>4.253833</v>
      </c>
    </row>
    <row r="84" customFormat="false" ht="15" hidden="false" customHeight="false" outlineLevel="0" collapsed="false">
      <c r="A84" s="0" t="s">
        <v>200</v>
      </c>
      <c r="B84" s="34" t="n">
        <f aca="false">SUMIFS(Sales_Data!$N$2:$N$1500,Sales_Data!$H$2:$H$1500,$A84,Sales_Data!$E$2:$E$1500,$B$1,Sales_Data!$U$2:$U$1500,$B$2)/100000</f>
        <v>3.2275</v>
      </c>
      <c r="C84" s="35" t="n">
        <f aca="false">SUMIFS(Sales_Data!$L$2:$L$1500,Sales_Data!$H$2:$H$1500,$A84,Sales_Data!$E$2:$E$1500,$B$1,Sales_Data!$U$2:$U$1500,$B$2)</f>
        <v>250</v>
      </c>
      <c r="D84" s="39" t="n">
        <f aca="false">B84+ROW()/1000000</f>
        <v>3.227584</v>
      </c>
    </row>
    <row r="85" customFormat="false" ht="15" hidden="false" customHeight="false" outlineLevel="0" collapsed="false">
      <c r="A85" s="0" t="s">
        <v>79</v>
      </c>
      <c r="B85" s="34" t="n">
        <f aca="false">SUMIFS(Sales_Data!$N$2:$N$1500,Sales_Data!$H$2:$H$1500,$A85,Sales_Data!$E$2:$E$1500,$B$1,Sales_Data!$U$2:$U$1500,$B$2)/100000</f>
        <v>1.21</v>
      </c>
      <c r="C85" s="35" t="n">
        <f aca="false">SUMIFS(Sales_Data!$L$2:$L$1500,Sales_Data!$H$2:$H$1500,$A85,Sales_Data!$E$2:$E$1500,$B$1,Sales_Data!$U$2:$U$1500,$B$2)</f>
        <v>100</v>
      </c>
      <c r="D85" s="39" t="n">
        <f aca="false">B85+ROW()/1000000</f>
        <v>1.210085</v>
      </c>
    </row>
    <row r="86" customFormat="false" ht="15" hidden="false" customHeight="false" outlineLevel="0" collapsed="false">
      <c r="A86" s="0" t="s">
        <v>226</v>
      </c>
      <c r="B86" s="34" t="n">
        <f aca="false">SUMIFS(Sales_Data!$N$2:$N$1500,Sales_Data!$H$2:$H$1500,$A86,Sales_Data!$E$2:$E$1500,$B$1,Sales_Data!$U$2:$U$1500,$B$2)/100000</f>
        <v>5.195</v>
      </c>
      <c r="C86" s="35" t="n">
        <f aca="false">SUMIFS(Sales_Data!$L$2:$L$1500,Sales_Data!$H$2:$H$1500,$A86,Sales_Data!$E$2:$E$1500,$B$1,Sales_Data!$U$2:$U$1500,$B$2)</f>
        <v>600</v>
      </c>
      <c r="D86" s="39" t="n">
        <f aca="false">B86+ROW()/1000000</f>
        <v>5.195086</v>
      </c>
    </row>
    <row r="87" customFormat="false" ht="15" hidden="false" customHeight="false" outlineLevel="0" collapsed="false">
      <c r="A87" s="0" t="s">
        <v>40</v>
      </c>
      <c r="B87" s="34" t="n">
        <f aca="false">SUMIFS(Sales_Data!$N$2:$N$1500,Sales_Data!$H$2:$H$1500,$A87,Sales_Data!$E$2:$E$1500,$B$1,Sales_Data!$U$2:$U$1500,$B$2)/100000</f>
        <v>7.235</v>
      </c>
      <c r="C87" s="35" t="n">
        <f aca="false">SUMIFS(Sales_Data!$L$2:$L$1500,Sales_Data!$H$2:$H$1500,$A87,Sales_Data!$E$2:$E$1500,$B$1,Sales_Data!$U$2:$U$1500,$B$2)</f>
        <v>875</v>
      </c>
      <c r="D87" s="39" t="n">
        <f aca="false">B87+ROW()/1000000</f>
        <v>7.235087</v>
      </c>
    </row>
    <row r="88" customFormat="false" ht="15" hidden="false" customHeight="false" outlineLevel="0" collapsed="false">
      <c r="A88" s="0" t="s">
        <v>94</v>
      </c>
      <c r="B88" s="34" t="n">
        <f aca="false">SUMIFS(Sales_Data!$N$2:$N$1500,Sales_Data!$H$2:$H$1500,$A88,Sales_Data!$E$2:$E$1500,$B$1,Sales_Data!$U$2:$U$1500,$B$2)/100000</f>
        <v>1.87875</v>
      </c>
      <c r="C88" s="35" t="n">
        <f aca="false">SUMIFS(Sales_Data!$L$2:$L$1500,Sales_Data!$H$2:$H$1500,$A88,Sales_Data!$E$2:$E$1500,$B$1,Sales_Data!$U$2:$U$1500,$B$2)</f>
        <v>225</v>
      </c>
      <c r="D88" s="39" t="n">
        <f aca="false">B88+ROW()/1000000</f>
        <v>1.878838</v>
      </c>
    </row>
    <row r="89" customFormat="false" ht="15" hidden="false" customHeight="false" outlineLevel="0" collapsed="false">
      <c r="A89" s="0" t="s">
        <v>254</v>
      </c>
      <c r="B89" s="34" t="n">
        <f aca="false">SUMIFS(Sales_Data!$N$2:$N$1500,Sales_Data!$H$2:$H$1500,$A89,Sales_Data!$E$2:$E$1500,$B$1,Sales_Data!$U$2:$U$1500,$B$2)/100000</f>
        <v>2.065</v>
      </c>
      <c r="C89" s="35" t="n">
        <f aca="false">SUMIFS(Sales_Data!$L$2:$L$1500,Sales_Data!$H$2:$H$1500,$A89,Sales_Data!$E$2:$E$1500,$B$1,Sales_Data!$U$2:$U$1500,$B$2)</f>
        <v>250</v>
      </c>
      <c r="D89" s="39" t="n">
        <f aca="false">B89+ROW()/1000000</f>
        <v>2.065089</v>
      </c>
    </row>
    <row r="90" customFormat="false" ht="15" hidden="false" customHeight="false" outlineLevel="0" collapsed="false">
      <c r="A90" s="0" t="s">
        <v>189</v>
      </c>
      <c r="B90" s="34" t="n">
        <f aca="false">SUMIFS(Sales_Data!$N$2:$N$1500,Sales_Data!$H$2:$H$1500,$A90,Sales_Data!$E$2:$E$1500,$B$1,Sales_Data!$U$2:$U$1500,$B$2)/100000</f>
        <v>1.715</v>
      </c>
      <c r="C90" s="35" t="n">
        <f aca="false">SUMIFS(Sales_Data!$L$2:$L$1500,Sales_Data!$H$2:$H$1500,$A90,Sales_Data!$E$2:$E$1500,$B$1,Sales_Data!$U$2:$U$1500,$B$2)</f>
        <v>200</v>
      </c>
      <c r="D90" s="39" t="n">
        <f aca="false">B90+ROW()/1000000</f>
        <v>1.71509</v>
      </c>
    </row>
    <row r="91" customFormat="false" ht="15" hidden="false" customHeight="false" outlineLevel="0" collapsed="false">
      <c r="A91" s="0" t="s">
        <v>127</v>
      </c>
      <c r="B91" s="34" t="n">
        <f aca="false">SUMIFS(Sales_Data!$N$2:$N$1500,Sales_Data!$H$2:$H$1500,$A91,Sales_Data!$E$2:$E$1500,$B$1,Sales_Data!$U$2:$U$1500,$B$2)/100000</f>
        <v>0.45125</v>
      </c>
      <c r="C91" s="35" t="n">
        <f aca="false">SUMIFS(Sales_Data!$L$2:$L$1500,Sales_Data!$H$2:$H$1500,$A91,Sales_Data!$E$2:$E$1500,$B$1,Sales_Data!$U$2:$U$1500,$B$2)</f>
        <v>50</v>
      </c>
      <c r="D91" s="39" t="n">
        <f aca="false">B91+ROW()/1000000</f>
        <v>0.451341</v>
      </c>
    </row>
    <row r="92" customFormat="false" ht="15" hidden="false" customHeight="false" outlineLevel="0" collapsed="false">
      <c r="A92" s="0" t="s">
        <v>168</v>
      </c>
      <c r="B92" s="34" t="n">
        <f aca="false">SUMIFS(Sales_Data!$N$2:$N$1500,Sales_Data!$H$2:$H$1500,$A92,Sales_Data!$E$2:$E$1500,$B$1,Sales_Data!$U$2:$U$1500,$B$2)/100000</f>
        <v>9.155</v>
      </c>
      <c r="C92" s="35" t="n">
        <f aca="false">SUMIFS(Sales_Data!$L$2:$L$1500,Sales_Data!$H$2:$H$1500,$A92,Sales_Data!$E$2:$E$1500,$B$1,Sales_Data!$U$2:$U$1500,$B$2)</f>
        <v>900</v>
      </c>
      <c r="D92" s="39" t="n">
        <f aca="false">B92+ROW()/1000000</f>
        <v>9.155092</v>
      </c>
    </row>
    <row r="93" customFormat="false" ht="15" hidden="false" customHeight="false" outlineLevel="0" collapsed="false">
      <c r="A93" s="0" t="s">
        <v>149</v>
      </c>
      <c r="B93" s="34" t="n">
        <f aca="false">SUMIFS(Sales_Data!$N$2:$N$1500,Sales_Data!$H$2:$H$1500,$A93,Sales_Data!$E$2:$E$1500,$B$1,Sales_Data!$U$2:$U$1500,$B$2)/100000</f>
        <v>6.935</v>
      </c>
      <c r="C93" s="35" t="n">
        <f aca="false">SUMIFS(Sales_Data!$L$2:$L$1500,Sales_Data!$H$2:$H$1500,$A93,Sales_Data!$E$2:$E$1500,$B$1,Sales_Data!$U$2:$U$1500,$B$2)</f>
        <v>650</v>
      </c>
      <c r="D93" s="39" t="n">
        <f aca="false">B93+ROW()/1000000</f>
        <v>6.935093</v>
      </c>
    </row>
    <row r="94" customFormat="false" ht="15" hidden="false" customHeight="false" outlineLevel="0" collapsed="false">
      <c r="A94" s="0" t="s">
        <v>195</v>
      </c>
      <c r="B94" s="34" t="n">
        <f aca="false">SUMIFS(Sales_Data!$N$2:$N$1500,Sales_Data!$H$2:$H$1500,$A94,Sales_Data!$E$2:$E$1500,$B$1,Sales_Data!$U$2:$U$1500,$B$2)/100000</f>
        <v>4.90875</v>
      </c>
      <c r="C94" s="35" t="n">
        <f aca="false">SUMIFS(Sales_Data!$L$2:$L$1500,Sales_Data!$H$2:$H$1500,$A94,Sales_Data!$E$2:$E$1500,$B$1,Sales_Data!$U$2:$U$1500,$B$2)</f>
        <v>525</v>
      </c>
      <c r="D94" s="39" t="n">
        <f aca="false">B94+ROW()/1000000</f>
        <v>4.908844</v>
      </c>
    </row>
    <row r="96" customFormat="false" ht="15" hidden="false" customHeight="false" outlineLevel="0" collapsed="false">
      <c r="A96" s="31" t="s">
        <v>406</v>
      </c>
    </row>
    <row r="97" customFormat="false" ht="15" hidden="false" customHeight="false" outlineLevel="0" collapsed="false">
      <c r="A97" s="21" t="s">
        <v>17</v>
      </c>
      <c r="B97" s="21" t="s">
        <v>376</v>
      </c>
      <c r="C97" s="21" t="s">
        <v>25</v>
      </c>
      <c r="D97" s="21" t="s">
        <v>405</v>
      </c>
    </row>
    <row r="98" customFormat="false" ht="15" hidden="false" customHeight="false" outlineLevel="0" collapsed="false">
      <c r="A98" s="0" t="s">
        <v>103</v>
      </c>
      <c r="B98" s="34" t="n">
        <f aca="false">SUMIFS(Sales_Data!$N$2:$N$1500,Sales_Data!$D$2:$D$1500,$A98,Sales_Data!$E$2:$E$1500,$B$1,Sales_Data!$U$2:$U$1500,$B$2)/100000</f>
        <v>27.465</v>
      </c>
      <c r="C98" s="35" t="n">
        <f aca="false">SUMIFS(Sales_Data!$L$2:$L$1500,Sales_Data!$D$2:$D$1500,$A98,Sales_Data!$E$2:$E$1500,$B$1,Sales_Data!$U$2:$U$1500,$B$2)</f>
        <v>2650</v>
      </c>
      <c r="D98" s="39" t="n">
        <f aca="false">B98+ROW()/1000000</f>
        <v>27.465098</v>
      </c>
    </row>
    <row r="99" customFormat="false" ht="15" hidden="false" customHeight="false" outlineLevel="0" collapsed="false">
      <c r="A99" s="0" t="s">
        <v>133</v>
      </c>
      <c r="B99" s="34" t="n">
        <f aca="false">SUMIFS(Sales_Data!$N$2:$N$1500,Sales_Data!$D$2:$D$1500,$A99,Sales_Data!$E$2:$E$1500,$B$1,Sales_Data!$U$2:$U$1500,$B$2)/100000</f>
        <v>10.335</v>
      </c>
      <c r="C99" s="35" t="n">
        <f aca="false">SUMIFS(Sales_Data!$L$2:$L$1500,Sales_Data!$D$2:$D$1500,$A99,Sales_Data!$E$2:$E$1500,$B$1,Sales_Data!$U$2:$U$1500,$B$2)</f>
        <v>1425</v>
      </c>
      <c r="D99" s="39" t="n">
        <f aca="false">B99+ROW()/1000000</f>
        <v>10.335099</v>
      </c>
    </row>
    <row r="100" customFormat="false" ht="15" hidden="false" customHeight="false" outlineLevel="0" collapsed="false">
      <c r="A100" s="0" t="s">
        <v>46</v>
      </c>
      <c r="B100" s="34" t="n">
        <f aca="false">SUMIFS(Sales_Data!$N$2:$N$1500,Sales_Data!$D$2:$D$1500,$A100,Sales_Data!$E$2:$E$1500,$B$1,Sales_Data!$U$2:$U$1500,$B$2)/100000</f>
        <v>32.4575</v>
      </c>
      <c r="C100" s="35" t="n">
        <f aca="false">SUMIFS(Sales_Data!$L$2:$L$1500,Sales_Data!$D$2:$D$1500,$A100,Sales_Data!$E$2:$E$1500,$B$1,Sales_Data!$U$2:$U$1500,$B$2)</f>
        <v>3325</v>
      </c>
      <c r="D100" s="39" t="n">
        <f aca="false">B100+ROW()/1000000</f>
        <v>32.4576</v>
      </c>
    </row>
    <row r="101" customFormat="false" ht="15" hidden="false" customHeight="false" outlineLevel="0" collapsed="false">
      <c r="A101" s="0" t="s">
        <v>54</v>
      </c>
      <c r="B101" s="34" t="n">
        <f aca="false">SUMIFS(Sales_Data!$N$2:$N$1500,Sales_Data!$D$2:$D$1500,$A101,Sales_Data!$E$2:$E$1500,$B$1,Sales_Data!$U$2:$U$1500,$B$2)/100000</f>
        <v>11.05</v>
      </c>
      <c r="C101" s="35" t="n">
        <f aca="false">SUMIFS(Sales_Data!$L$2:$L$1500,Sales_Data!$D$2:$D$1500,$A101,Sales_Data!$E$2:$E$1500,$B$1,Sales_Data!$U$2:$U$1500,$B$2)</f>
        <v>1350</v>
      </c>
      <c r="D101" s="39" t="n">
        <f aca="false">B101+ROW()/1000000</f>
        <v>11.050101</v>
      </c>
    </row>
    <row r="102" customFormat="false" ht="15" hidden="false" customHeight="false" outlineLevel="0" collapsed="false">
      <c r="A102" s="0" t="s">
        <v>96</v>
      </c>
      <c r="B102" s="34" t="n">
        <f aca="false">SUMIFS(Sales_Data!$N$2:$N$1500,Sales_Data!$D$2:$D$1500,$A102,Sales_Data!$E$2:$E$1500,$B$1,Sales_Data!$U$2:$U$1500,$B$2)/100000</f>
        <v>9.49625</v>
      </c>
      <c r="C102" s="35" t="n">
        <f aca="false">SUMIFS(Sales_Data!$L$2:$L$1500,Sales_Data!$D$2:$D$1500,$A102,Sales_Data!$E$2:$E$1500,$B$1,Sales_Data!$U$2:$U$1500,$B$2)</f>
        <v>975</v>
      </c>
      <c r="D102" s="39" t="n">
        <f aca="false">B102+ROW()/1000000</f>
        <v>9.496352</v>
      </c>
    </row>
    <row r="103" customFormat="false" ht="15" hidden="false" customHeight="false" outlineLevel="0" collapsed="false">
      <c r="A103" s="0" t="s">
        <v>61</v>
      </c>
      <c r="B103" s="34" t="n">
        <f aca="false">SUMIFS(Sales_Data!$N$2:$N$1500,Sales_Data!$D$2:$D$1500,$A103,Sales_Data!$E$2:$E$1500,$B$1,Sales_Data!$U$2:$U$1500,$B$2)/100000</f>
        <v>32.57875</v>
      </c>
      <c r="C103" s="35" t="n">
        <f aca="false">SUMIFS(Sales_Data!$L$2:$L$1500,Sales_Data!$D$2:$D$1500,$A103,Sales_Data!$E$2:$E$1500,$B$1,Sales_Data!$U$2:$U$1500,$B$2)</f>
        <v>3750</v>
      </c>
      <c r="D103" s="39" t="n">
        <f aca="false">B103+ROW()/1000000</f>
        <v>32.578853</v>
      </c>
    </row>
    <row r="104" customFormat="false" ht="15" hidden="false" customHeight="false" outlineLevel="0" collapsed="false">
      <c r="A104" s="0" t="s">
        <v>69</v>
      </c>
      <c r="B104" s="34" t="n">
        <f aca="false">SUMIFS(Sales_Data!$N$2:$N$1500,Sales_Data!$D$2:$D$1500,$A104,Sales_Data!$E$2:$E$1500,$B$1,Sales_Data!$U$2:$U$1500,$B$2)/100000</f>
        <v>15.17875</v>
      </c>
      <c r="C104" s="35" t="n">
        <f aca="false">SUMIFS(Sales_Data!$L$2:$L$1500,Sales_Data!$D$2:$D$1500,$A104,Sales_Data!$E$2:$E$1500,$B$1,Sales_Data!$U$2:$U$1500,$B$2)</f>
        <v>1625</v>
      </c>
      <c r="D104" s="39" t="n">
        <f aca="false">B104+ROW()/1000000</f>
        <v>15.178854</v>
      </c>
    </row>
    <row r="105" customFormat="false" ht="15" hidden="false" customHeight="false" outlineLevel="0" collapsed="false">
      <c r="A105" s="0" t="s">
        <v>71</v>
      </c>
      <c r="B105" s="34" t="n">
        <f aca="false">SUMIFS(Sales_Data!$N$2:$N$1500,Sales_Data!$D$2:$D$1500,$A105,Sales_Data!$E$2:$E$1500,$B$1,Sales_Data!$U$2:$U$1500,$B$2)/100000</f>
        <v>16.82</v>
      </c>
      <c r="C105" s="35" t="n">
        <f aca="false">SUMIFS(Sales_Data!$L$2:$L$1500,Sales_Data!$D$2:$D$1500,$A105,Sales_Data!$E$2:$E$1500,$B$1,Sales_Data!$U$2:$U$1500,$B$2)</f>
        <v>1975</v>
      </c>
      <c r="D105" s="39" t="n">
        <f aca="false">B105+ROW()/1000000</f>
        <v>16.820105</v>
      </c>
    </row>
    <row r="106" customFormat="false" ht="15" hidden="false" customHeight="false" outlineLevel="0" collapsed="false">
      <c r="A106" s="0" t="s">
        <v>108</v>
      </c>
      <c r="B106" s="34" t="n">
        <f aca="false">SUMIFS(Sales_Data!$N$2:$N$1500,Sales_Data!$D$2:$D$1500,$A106,Sales_Data!$E$2:$E$1500,$B$1,Sales_Data!$U$2:$U$1500,$B$2)/100000</f>
        <v>24.4</v>
      </c>
      <c r="C106" s="35" t="n">
        <f aca="false">SUMIFS(Sales_Data!$L$2:$L$1500,Sales_Data!$D$2:$D$1500,$A106,Sales_Data!$E$2:$E$1500,$B$1,Sales_Data!$U$2:$U$1500,$B$2)</f>
        <v>2450</v>
      </c>
      <c r="D106" s="39" t="n">
        <f aca="false">B106+ROW()/1000000</f>
        <v>24.400106</v>
      </c>
    </row>
    <row r="107" customFormat="false" ht="15" hidden="false" customHeight="false" outlineLevel="0" collapsed="false">
      <c r="A107" s="0" t="s">
        <v>36</v>
      </c>
      <c r="B107" s="34" t="n">
        <f aca="false">SUMIFS(Sales_Data!$N$2:$N$1500,Sales_Data!$D$2:$D$1500,$A107,Sales_Data!$E$2:$E$1500,$B$1,Sales_Data!$U$2:$U$1500,$B$2)/100000</f>
        <v>40.5625</v>
      </c>
      <c r="C107" s="35" t="n">
        <f aca="false">SUMIFS(Sales_Data!$L$2:$L$1500,Sales_Data!$D$2:$D$1500,$A107,Sales_Data!$E$2:$E$1500,$B$1,Sales_Data!$U$2:$U$1500,$B$2)</f>
        <v>4450</v>
      </c>
      <c r="D107" s="39" t="n">
        <f aca="false">B107+ROW()/1000000</f>
        <v>40.562607</v>
      </c>
    </row>
    <row r="109" customFormat="false" ht="15" hidden="false" customHeight="false" outlineLevel="0" collapsed="false">
      <c r="A109" s="31" t="s">
        <v>407</v>
      </c>
    </row>
    <row r="110" customFormat="false" ht="15" hidden="false" customHeight="false" outlineLevel="0" collapsed="false">
      <c r="A110" s="21" t="s">
        <v>408</v>
      </c>
      <c r="B110" s="21" t="s">
        <v>376</v>
      </c>
      <c r="C110" s="21"/>
      <c r="D110" s="21" t="s">
        <v>409</v>
      </c>
      <c r="E110" s="21" t="s">
        <v>376</v>
      </c>
    </row>
    <row r="111" customFormat="false" ht="15" hidden="false" customHeight="false" outlineLevel="0" collapsed="false">
      <c r="A111" s="0" t="str">
        <f aca="false">INDEX($A$58:$A$94,MATCH(LARGE($D$58:$D$94,10),$D$58:$D$94,0))</f>
        <v>Yellow 2R</v>
      </c>
      <c r="B111" s="34" t="n">
        <f aca="false">INDEX($B$58:$B$94,MATCH(LARGE($D$58:$D$94,10),$D$58:$D$94,0))</f>
        <v>8.12875</v>
      </c>
      <c r="D111" s="0" t="str">
        <f aca="false">INDEX($A$98:$A$107,MATCH(LARGE($D$98:$D$107,8),$D$98:$D$107,0))</f>
        <v>Sri Lakshmi Leather Chemicals</v>
      </c>
      <c r="E111" s="34" t="n">
        <f aca="false">INDEX($B$98:$B$107,MATCH(LARGE($D$98:$D$107,8),$D$98:$D$107,0))</f>
        <v>11.05</v>
      </c>
    </row>
    <row r="112" customFormat="false" ht="15" hidden="false" customHeight="false" outlineLevel="0" collapsed="false">
      <c r="A112" s="0" t="str">
        <f aca="false">INDEX($A$58:$A$94,MATCH(LARGE($D$58:$D$94,9),$D$58:$D$94,0))</f>
        <v>Royal Blue</v>
      </c>
      <c r="B112" s="34" t="n">
        <f aca="false">INDEX($B$58:$B$94,MATCH(LARGE($D$58:$D$94,9),$D$58:$D$94,0))</f>
        <v>8.595</v>
      </c>
      <c r="D112" s="0" t="str">
        <f aca="false">INDEX($A$98:$A$107,MATCH(LARGE($D$98:$D$107,7),$D$98:$D$107,0))</f>
        <v>Ningbo Metallic Film Co., Ltd.</v>
      </c>
      <c r="E112" s="34" t="n">
        <f aca="false">INDEX($B$98:$B$107,MATCH(LARGE($D$98:$D$107,7),$D$98:$D$107,0))</f>
        <v>15.17875</v>
      </c>
    </row>
    <row r="113" customFormat="false" ht="15" hidden="false" customHeight="false" outlineLevel="0" collapsed="false">
      <c r="A113" s="0" t="str">
        <f aca="false">INDEX($A$58:$A$94,MATCH(LARGE($D$58:$D$94,8),$D$58:$D$94,0))</f>
        <v>Red 3BLS</v>
      </c>
      <c r="B113" s="34" t="n">
        <f aca="false">INDEX($B$58:$B$94,MATCH(LARGE($D$58:$D$94,8),$D$58:$D$94,0))</f>
        <v>8.90125</v>
      </c>
      <c r="D113" s="0" t="str">
        <f aca="false">INDEX($A$98:$A$107,MATCH(LARGE($D$98:$D$107,6),$D$98:$D$107,0))</f>
        <v>Bangkok Ink &amp; Resin Co., Ltd.</v>
      </c>
      <c r="E113" s="34" t="n">
        <f aca="false">INDEX($B$98:$B$107,MATCH(LARGE($D$98:$D$107,6),$D$98:$D$107,0))</f>
        <v>16.82</v>
      </c>
    </row>
    <row r="114" customFormat="false" ht="15" hidden="false" customHeight="false" outlineLevel="0" collapsed="false">
      <c r="A114" s="0" t="str">
        <f aca="false">INDEX($A$58:$A$94,MATCH(LARGE($D$58:$D$94,7),$D$58:$D$94,0))</f>
        <v>Green GL</v>
      </c>
      <c r="B114" s="34" t="n">
        <f aca="false">INDEX($B$58:$B$94,MATCH(LARGE($D$58:$D$94,7),$D$58:$D$94,0))</f>
        <v>9.155</v>
      </c>
      <c r="D114" s="0" t="str">
        <f aca="false">INDEX($A$98:$A$107,MATCH(LARGE($D$98:$D$107,5),$D$98:$D$107,0))</f>
        <v>Saigon Coatings JSC</v>
      </c>
      <c r="E114" s="34" t="n">
        <f aca="false">INDEX($B$98:$B$107,MATCH(LARGE($D$98:$D$107,5),$D$98:$D$107,0))</f>
        <v>24.4</v>
      </c>
    </row>
    <row r="115" customFormat="false" ht="15" hidden="false" customHeight="false" outlineLevel="0" collapsed="false">
      <c r="A115" s="0" t="str">
        <f aca="false">INDEX($A$58:$A$94,MATCH(LARGE($D$58:$D$94,6),$D$58:$D$94,0))</f>
        <v>Red 2BL</v>
      </c>
      <c r="B115" s="34" t="n">
        <f aca="false">INDEX($B$58:$B$94,MATCH(LARGE($D$58:$D$94,6),$D$58:$D$94,0))</f>
        <v>9.75125</v>
      </c>
      <c r="D115" s="0" t="str">
        <f aca="false">INDEX($A$98:$A$107,MATCH(LARGE($D$98:$D$107,4),$D$98:$D$107,0))</f>
        <v>Jay Ambe Metallizers Pvt. Ltd.</v>
      </c>
      <c r="E115" s="34" t="n">
        <f aca="false">INDEX($B$98:$B$107,MATCH(LARGE($D$98:$D$107,4),$D$98:$D$107,0))</f>
        <v>27.465</v>
      </c>
    </row>
    <row r="116" customFormat="false" ht="15" hidden="false" customHeight="false" outlineLevel="0" collapsed="false">
      <c r="A116" s="0" t="str">
        <f aca="false">INDEX($A$58:$A$94,MATCH(LARGE($D$58:$D$94,5),$D$58:$D$94,0))</f>
        <v>Black RE</v>
      </c>
      <c r="B116" s="34" t="n">
        <f aca="false">INDEX($B$58:$B$94,MATCH(LARGE($D$58:$D$94,5),$D$58:$D$94,0))</f>
        <v>10.115</v>
      </c>
      <c r="D116" s="0" t="str">
        <f aca="false">INDEX($A$98:$A$107,MATCH(LARGE($D$98:$D$107,3),$D$98:$D$107,0))</f>
        <v>Pioneer Foils &amp; Films Pvt. Ltd.</v>
      </c>
      <c r="E116" s="34" t="n">
        <f aca="false">INDEX($B$98:$B$107,MATCH(LARGE($D$98:$D$107,3),$D$98:$D$107,0))</f>
        <v>32.4575</v>
      </c>
    </row>
    <row r="117" customFormat="false" ht="15" hidden="false" customHeight="false" outlineLevel="0" collapsed="false">
      <c r="A117" s="0" t="str">
        <f aca="false">INDEX($A$58:$A$94,MATCH(LARGE($D$58:$D$94,4),$D$58:$D$94,0))</f>
        <v>Jet Black</v>
      </c>
      <c r="B117" s="34" t="n">
        <f aca="false">INDEX($B$58:$B$94,MATCH(LARGE($D$58:$D$94,4),$D$58:$D$94,0))</f>
        <v>14.45875</v>
      </c>
      <c r="D117" s="0" t="str">
        <f aca="false">INDEX($A$98:$A$107,MATCH(LARGE($D$98:$D$107,2),$D$98:$D$107,0))</f>
        <v>Guangzhou Huaxin Coatings Co., Ltd.</v>
      </c>
      <c r="E117" s="34" t="n">
        <f aca="false">INDEX($B$98:$B$107,MATCH(LARGE($D$98:$D$107,2),$D$98:$D$107,0))</f>
        <v>32.57875</v>
      </c>
    </row>
    <row r="118" customFormat="false" ht="15" hidden="false" customHeight="false" outlineLevel="0" collapsed="false">
      <c r="A118" s="0" t="str">
        <f aca="false">INDEX($A$58:$A$94,MATCH(LARGE($D$58:$D$94,3),$D$58:$D$94,0))</f>
        <v>Orange 2R</v>
      </c>
      <c r="B118" s="34" t="n">
        <f aca="false">INDEX($B$58:$B$94,MATCH(LARGE($D$58:$D$94,3),$D$58:$D$94,0))</f>
        <v>14.87</v>
      </c>
      <c r="D118" s="0" t="str">
        <f aca="false">INDEX($A$98:$A$107,MATCH(LARGE($D$98:$D$107,1),$D$98:$D$107,0))</f>
        <v>Sao Paulo Foil Tech Ltda</v>
      </c>
      <c r="E118" s="34" t="n">
        <f aca="false">INDEX($B$98:$B$107,MATCH(LARGE($D$98:$D$107,1),$D$98:$D$107,0))</f>
        <v>40.5625</v>
      </c>
    </row>
    <row r="119" customFormat="false" ht="15" hidden="false" customHeight="false" outlineLevel="0" collapsed="false">
      <c r="A119" s="0" t="str">
        <f aca="false">INDEX($A$58:$A$94,MATCH(LARGE($D$58:$D$94,2),$D$58:$D$94,0))</f>
        <v>Yellow 2RLS</v>
      </c>
      <c r="B119" s="34" t="n">
        <f aca="false">INDEX($B$58:$B$94,MATCH(LARGE($D$58:$D$94,2),$D$58:$D$94,0))</f>
        <v>19.88</v>
      </c>
    </row>
    <row r="120" customFormat="false" ht="15" hidden="false" customHeight="false" outlineLevel="0" collapsed="false">
      <c r="A120" s="0" t="str">
        <f aca="false">INDEX($A$58:$A$94,MATCH(LARGE($D$58:$D$94,1),$D$58:$D$94,0))</f>
        <v>Blue 2GLN</v>
      </c>
      <c r="B120" s="34" t="n">
        <f aca="false">INDEX($B$58:$B$94,MATCH(LARGE($D$58:$D$94,1),$D$58:$D$94,0))</f>
        <v>21.385</v>
      </c>
    </row>
    <row r="123" customFormat="false" ht="15" hidden="false" customHeight="false" outlineLevel="0" collapsed="false">
      <c r="A123" s="31" t="s">
        <v>410</v>
      </c>
    </row>
    <row r="124" customFormat="false" ht="15" hidden="false" customHeight="false" outlineLevel="0" collapsed="false">
      <c r="A124" s="0" t="s">
        <v>376</v>
      </c>
      <c r="B124" s="0" t="n">
        <f aca="false">SUM(B5:B22)</f>
        <v>220.34375</v>
      </c>
    </row>
    <row r="125" customFormat="false" ht="15" hidden="false" customHeight="false" outlineLevel="0" collapsed="false">
      <c r="A125" s="0" t="s">
        <v>25</v>
      </c>
      <c r="B125" s="0" t="n">
        <f aca="false">SUM(C5:C22)</f>
        <v>23975</v>
      </c>
    </row>
    <row r="126" customFormat="false" ht="15" hidden="false" customHeight="false" outlineLevel="0" collapsed="false">
      <c r="A126" s="0" t="s">
        <v>377</v>
      </c>
      <c r="B126" s="0" t="n">
        <f aca="false">SUM(D5:D22)</f>
        <v>60.0985</v>
      </c>
    </row>
    <row r="127" customFormat="false" ht="15" hidden="false" customHeight="false" outlineLevel="0" collapsed="false">
      <c r="A127" s="0" t="s">
        <v>378</v>
      </c>
      <c r="B127" s="0" t="n">
        <f aca="false">IF(B124=0,0,B126/B124)</f>
        <v>0.272748829953198</v>
      </c>
    </row>
    <row r="128" customFormat="false" ht="15" hidden="false" customHeight="false" outlineLevel="0" collapsed="false">
      <c r="A128" s="0" t="s">
        <v>380</v>
      </c>
      <c r="B128" s="0" t="n">
        <f aca="false">SUM(G5:G22)</f>
        <v>200</v>
      </c>
    </row>
    <row r="129" customFormat="false" ht="15" hidden="false" customHeight="false" outlineLevel="0" collapsed="false">
      <c r="A129" s="0" t="s">
        <v>411</v>
      </c>
      <c r="B129" s="0" t="n">
        <f aca="false">IF(B125=0,0,B124*100000/B125)</f>
        <v>919.056308654849</v>
      </c>
    </row>
    <row r="130" customFormat="false" ht="15" hidden="false" customHeight="false" outlineLevel="0" collapsed="false">
      <c r="A130" s="0" t="s">
        <v>412</v>
      </c>
      <c r="B130" s="0" t="n">
        <f aca="false">COUNTIFS(Sales_Data!$T$2:$T$1500,"Yes",Sales_Data!$E$2:$E$1500,$B$1,Sales_Data!$U$2:$U$1500,$B$2)</f>
        <v>153</v>
      </c>
    </row>
    <row r="131" customFormat="false" ht="15" hidden="false" customHeight="false" outlineLevel="0" collapsed="false">
      <c r="A131" s="0" t="s">
        <v>413</v>
      </c>
      <c r="B131" s="0" t="n">
        <f aca="false">COUNTIFS(Sales_Data!$T$2:$T$1500,"No",Sales_Data!$E$2:$E$1500,$B$1,Sales_Data!$U$2:$U$1500,$B$2)</f>
        <v>40</v>
      </c>
    </row>
    <row r="132" customFormat="false" ht="15" hidden="false" customHeight="false" outlineLevel="0" collapsed="false">
      <c r="A132" s="0" t="s">
        <v>414</v>
      </c>
      <c r="B132" s="0" t="n">
        <f aca="false">IF(B130+B131=0,0,B130/(B130+B131))</f>
        <v>0.792746113989637</v>
      </c>
    </row>
    <row r="133" customFormat="false" ht="15" hidden="false" customHeight="false" outlineLevel="0" collapsed="false">
      <c r="A133" s="0" t="s">
        <v>415</v>
      </c>
      <c r="B133" s="0" t="n">
        <f aca="false">IF(B52+B53=0,0,B53/(B52+B53))</f>
        <v>0.587899588710821</v>
      </c>
    </row>
    <row r="134" customFormat="false" ht="15" hidden="false" customHeight="false" outlineLevel="0" collapsed="false">
      <c r="A134" s="0" t="s">
        <v>416</v>
      </c>
      <c r="B134" s="0" t="n">
        <f aca="false">COUNTIFS(Sales_Data!$S$2:$S$1500,"In Production",Sales_Data!$E$2:$E$1500,$B$1,Sales_Data!$U$2:$U$1500,$B$2)+COUNTIFS(Sales_Data!$S$2:$S$1500,"Pending Dispatch",Sales_Data!$E$2:$E$1500,$B$1,Sales_Data!$U$2:$U$1500,$B$2)</f>
        <v>7</v>
      </c>
    </row>
    <row r="135" customFormat="false" ht="15" hidden="false" customHeight="false" outlineLevel="0" collapsed="false">
      <c r="A135" s="0" t="s">
        <v>417</v>
      </c>
      <c r="B135" s="0" t="n">
        <f aca="false">IFERROR(AVERAGEIFS(Sales_Data!$R$2:$R$1500,Sales_Data!$E$2:$E$1500,$B$1),0)</f>
        <v>17.8290155440415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40" t="s">
        <v>418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419</v>
      </c>
    </row>
    <row r="4" customFormat="false" ht="15" hidden="false" customHeight="false" outlineLevel="0" collapsed="false">
      <c r="A4" s="22" t="s">
        <v>420</v>
      </c>
    </row>
    <row r="5" customFormat="false" ht="15" hidden="false" customHeight="false" outlineLevel="0" collapsed="false">
      <c r="A5" s="22" t="s">
        <v>421</v>
      </c>
    </row>
    <row r="6" customFormat="false" ht="15" hidden="false" customHeight="false" outlineLevel="0" collapsed="false">
      <c r="A6" s="22" t="s">
        <v>422</v>
      </c>
    </row>
    <row r="7" customFormat="false" ht="15" hidden="false" customHeight="false" outlineLevel="0" collapsed="false">
      <c r="A7" s="22"/>
    </row>
    <row r="8" customFormat="false" ht="15" hidden="false" customHeight="false" outlineLevel="0" collapsed="false">
      <c r="A8" s="40" t="s">
        <v>423</v>
      </c>
    </row>
    <row r="9" customFormat="false" ht="15" hidden="false" customHeight="false" outlineLevel="0" collapsed="false">
      <c r="A9" s="22" t="s">
        <v>424</v>
      </c>
    </row>
    <row r="10" customFormat="false" ht="15" hidden="false" customHeight="false" outlineLevel="0" collapsed="false">
      <c r="A10" s="22" t="s">
        <v>425</v>
      </c>
    </row>
    <row r="11" customFormat="false" ht="15" hidden="false" customHeight="false" outlineLevel="0" collapsed="false">
      <c r="A11" s="22" t="s">
        <v>426</v>
      </c>
    </row>
    <row r="12" customFormat="false" ht="15" hidden="false" customHeight="false" outlineLevel="0" collapsed="false">
      <c r="A12" s="22" t="s">
        <v>427</v>
      </c>
    </row>
    <row r="13" customFormat="false" ht="15" hidden="false" customHeight="false" outlineLevel="0" collapsed="false">
      <c r="A13" s="22"/>
    </row>
    <row r="14" customFormat="false" ht="15" hidden="false" customHeight="false" outlineLevel="0" collapsed="false">
      <c r="A14" s="40" t="s">
        <v>428</v>
      </c>
    </row>
    <row r="15" customFormat="false" ht="15" hidden="false" customHeight="false" outlineLevel="0" collapsed="false">
      <c r="A15" s="22" t="s">
        <v>429</v>
      </c>
    </row>
    <row r="16" customFormat="false" ht="15" hidden="false" customHeight="false" outlineLevel="0" collapsed="false">
      <c r="A16" s="22" t="s">
        <v>430</v>
      </c>
    </row>
    <row r="17" customFormat="false" ht="15" hidden="false" customHeight="false" outlineLevel="0" collapsed="false">
      <c r="A17" s="22" t="s">
        <v>431</v>
      </c>
    </row>
    <row r="18" customFormat="false" ht="15" hidden="false" customHeight="false" outlineLevel="0" collapsed="false">
      <c r="A18" s="22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2026-10-08T00:01:28Z</dcterms:created>
  <dc:creator>openpyxl</dc:creator>
  <dc:description/>
  <dc:language>en-US</dc:language>
  <cp:lastModifiedBy/>
  <dcterms:modified xsi:type="dcterms:W3CDTF">2026-10-08T00:01:31Z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